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gel.CHERRY\OneDrive - York St John University\Desktop\"/>
    </mc:Choice>
  </mc:AlternateContent>
  <xr:revisionPtr revIDLastSave="0" documentId="8_{AFB8C83D-B22B-4FBC-A53A-9CF8FB4497FE}" xr6:coauthVersionLast="47" xr6:coauthVersionMax="47" xr10:uidLastSave="{00000000-0000-0000-0000-000000000000}"/>
  <bookViews>
    <workbookView xWindow="-120" yWindow="-120" windowWidth="29040" windowHeight="15840" tabRatio="669" xr2:uid="{00000000-000D-0000-FFFF-FFFF00000000}"/>
  </bookViews>
  <sheets>
    <sheet name="CGPA Calculator - Regular" sheetId="5" r:id="rId1"/>
  </sheets>
  <definedNames>
    <definedName name="_xlnm.Print_Area" localSheetId="0">'CGPA Calculator - Regular'!$A$1:$I$241</definedName>
  </definedNames>
  <calcPr calcId="191028"/>
</workbook>
</file>

<file path=xl/calcChain.xml><?xml version="1.0" encoding="utf-8"?>
<calcChain xmlns="http://schemas.openxmlformats.org/spreadsheetml/2006/main">
  <c r="F20" i="5" l="1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G27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G37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G60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G72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G93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G106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G127" i="5"/>
  <c r="F139" i="5"/>
  <c r="G139" i="5"/>
  <c r="G140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G160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G171" i="5"/>
  <c r="F206" i="5"/>
  <c r="D27" i="5"/>
  <c r="D37" i="5"/>
  <c r="D60" i="5"/>
  <c r="D72" i="5"/>
  <c r="D93" i="5"/>
  <c r="D106" i="5"/>
  <c r="D127" i="5"/>
  <c r="D140" i="5"/>
  <c r="D160" i="5"/>
  <c r="D171" i="5"/>
  <c r="D192" i="5"/>
  <c r="D203" i="5"/>
  <c r="F207" i="5"/>
  <c r="H209" i="5"/>
  <c r="I203" i="5"/>
  <c r="I192" i="5"/>
  <c r="I204" i="5"/>
  <c r="F135" i="5"/>
  <c r="G135" i="5"/>
  <c r="F134" i="5"/>
  <c r="G134" i="5"/>
  <c r="F133" i="5"/>
  <c r="G133" i="5"/>
  <c r="F132" i="5"/>
  <c r="G132" i="5"/>
  <c r="F136" i="5"/>
  <c r="G136" i="5"/>
  <c r="F131" i="5"/>
  <c r="G131" i="5"/>
  <c r="F130" i="5"/>
  <c r="G130" i="5"/>
  <c r="F137" i="5"/>
  <c r="G137" i="5"/>
  <c r="F138" i="5"/>
  <c r="G138" i="5"/>
  <c r="F50" i="5"/>
  <c r="G50" i="5"/>
  <c r="F63" i="5"/>
  <c r="G63" i="5"/>
  <c r="I93" i="5"/>
  <c r="I172" i="5"/>
  <c r="I171" i="5"/>
  <c r="I141" i="5"/>
  <c r="I140" i="5"/>
  <c r="I127" i="5"/>
  <c r="I160" i="5"/>
  <c r="I106" i="5"/>
  <c r="I60" i="5"/>
  <c r="H210" i="5"/>
  <c r="I72" i="5"/>
  <c r="I73" i="5"/>
  <c r="I107" i="5"/>
  <c r="I37" i="5"/>
  <c r="I38" i="5"/>
  <c r="I27" i="5"/>
</calcChain>
</file>

<file path=xl/sharedStrings.xml><?xml version="1.0" encoding="utf-8"?>
<sst xmlns="http://schemas.openxmlformats.org/spreadsheetml/2006/main" count="452" uniqueCount="203">
  <si>
    <t>COURSE CODE</t>
  </si>
  <si>
    <t>COURSE TITLE</t>
  </si>
  <si>
    <t>CREDIT UNIT</t>
  </si>
  <si>
    <t>GRADE</t>
  </si>
  <si>
    <t>GRADE POINTS</t>
  </si>
  <si>
    <t>QUALITY POINT</t>
  </si>
  <si>
    <t>S/N</t>
  </si>
  <si>
    <t>GSS 101</t>
  </si>
  <si>
    <t>USE OF ENGLISH</t>
  </si>
  <si>
    <t>GSS 105</t>
  </si>
  <si>
    <t>HUMANITIES</t>
  </si>
  <si>
    <t>GSS 107</t>
  </si>
  <si>
    <t>NIGERIAN PEOPLE AND CULTURE</t>
  </si>
  <si>
    <t>ICH 101</t>
  </si>
  <si>
    <t>BASIC ORGANIC CHEMISTRY</t>
  </si>
  <si>
    <t>BASIC INORGANIC CHEMISTRY</t>
  </si>
  <si>
    <t>MAT 101</t>
  </si>
  <si>
    <t>PHY 101</t>
  </si>
  <si>
    <t>GENERAL PHYSICS I</t>
  </si>
  <si>
    <t>PHY 107</t>
  </si>
  <si>
    <t>TOTAL</t>
  </si>
  <si>
    <t>GSS 102</t>
  </si>
  <si>
    <t>MAT 102</t>
  </si>
  <si>
    <t>ELEMENTARY MATHEMATICS II</t>
  </si>
  <si>
    <t>PHY 102</t>
  </si>
  <si>
    <t>GENERAL PHYSICS II</t>
  </si>
  <si>
    <t>CSC 201</t>
  </si>
  <si>
    <t>MAT 201</t>
  </si>
  <si>
    <t>CSC 202</t>
  </si>
  <si>
    <t>MAT 202</t>
  </si>
  <si>
    <t>COMPUTER PROGRAMMING I</t>
  </si>
  <si>
    <t>LINEAR ALGEBRA I</t>
  </si>
  <si>
    <t>COMPUTER PROGRAMMING II</t>
  </si>
  <si>
    <t>GPA</t>
  </si>
  <si>
    <t>PROJECT</t>
  </si>
  <si>
    <t>Yr.4 CGPA</t>
  </si>
  <si>
    <t>Yr.5 CGPA</t>
  </si>
  <si>
    <t>Yr.3 CGPA</t>
  </si>
  <si>
    <t>Yr.2 CGPA</t>
  </si>
  <si>
    <t>Yr.1 CGPA</t>
  </si>
  <si>
    <t>OUTSTANDING 1</t>
  </si>
  <si>
    <t>OUTSTANDING 2</t>
  </si>
  <si>
    <t>OUTSTANDING 3</t>
  </si>
  <si>
    <t>OUTSTANDING 4</t>
  </si>
  <si>
    <t>Designed by</t>
  </si>
  <si>
    <t xml:space="preserve">             SOFTOUCHE TECHNOLOGIES</t>
  </si>
  <si>
    <t>GRADE GUIDE</t>
  </si>
  <si>
    <t>A=70 - 100</t>
  </si>
  <si>
    <t>B=60 - 69</t>
  </si>
  <si>
    <t>C=50 - 59</t>
  </si>
  <si>
    <t>F=0 - 39</t>
  </si>
  <si>
    <t xml:space="preserve">E=40 - 44 </t>
  </si>
  <si>
    <t>D=45 - 49</t>
  </si>
  <si>
    <t>FOR DEGREE STUDENTS ONLY</t>
  </si>
  <si>
    <t>YEAR 1 SEMESTER 1</t>
  </si>
  <si>
    <t>YEAR 1 SEMESTER 2</t>
  </si>
  <si>
    <t>YEAR 2 SEMESTER 1</t>
  </si>
  <si>
    <t>YEAR 2 SEMESTER 2</t>
  </si>
  <si>
    <t>YEAR 3 SEMESTER 1</t>
  </si>
  <si>
    <t>YEAR 3 SEMESTER 2</t>
  </si>
  <si>
    <t>YEAR 4 SEMESTER 1</t>
  </si>
  <si>
    <t>YEAR 4 SEMESTER 2</t>
  </si>
  <si>
    <t>YEAR 5 SEMESTER 1</t>
  </si>
  <si>
    <t>YEAR 5 SEMESTER 2</t>
  </si>
  <si>
    <t>08060083228</t>
  </si>
  <si>
    <t>Final CGPA</t>
  </si>
  <si>
    <t>Class of Degree</t>
  </si>
  <si>
    <t>4.50 - 5.00</t>
  </si>
  <si>
    <t>1st Class</t>
  </si>
  <si>
    <t>3.50 - 4.49</t>
  </si>
  <si>
    <t>2.40 - 3.49</t>
  </si>
  <si>
    <t>1.50 - 2.39</t>
  </si>
  <si>
    <t>1.00 - 1.49</t>
  </si>
  <si>
    <t>0.00 - 0.99</t>
  </si>
  <si>
    <t>2nd Class Honours Upper Division</t>
  </si>
  <si>
    <t>3rd Class Honours Upper Division</t>
  </si>
  <si>
    <t>Pass</t>
  </si>
  <si>
    <t>Fail</t>
  </si>
  <si>
    <t>2nd Class Honours Lower Division</t>
  </si>
  <si>
    <t>Grading System</t>
  </si>
  <si>
    <t>ICH 111</t>
  </si>
  <si>
    <t>GSS 106</t>
  </si>
  <si>
    <t>SOCIAL SCIENCE</t>
  </si>
  <si>
    <t>NNAMDI AZIKIWE UNIVERSITY, AWKA.</t>
  </si>
  <si>
    <t>(EXAMINTAION UNIT)</t>
  </si>
  <si>
    <t>STUDENTS ACADEMIC RECORDS</t>
  </si>
  <si>
    <t>NAME OF STUDENT:</t>
  </si>
  <si>
    <t>REG. NO. OF STUDENT:</t>
  </si>
  <si>
    <t>DEPARTMENT:</t>
  </si>
  <si>
    <t>FACULTY:</t>
  </si>
  <si>
    <t>ENTRY STATUS:</t>
  </si>
  <si>
    <t>DATE OF ISSUE:</t>
  </si>
  <si>
    <t>YEAR OF STUDY:</t>
  </si>
  <si>
    <t>ACADEMIC YEAR:</t>
  </si>
  <si>
    <t>NAME OF HOD:</t>
  </si>
  <si>
    <t>SIGNATURE:</t>
  </si>
  <si>
    <t>Student's Final CGPA:</t>
  </si>
  <si>
    <t>Class of DEGREE:</t>
  </si>
  <si>
    <t>YEAR 6 SEMESTER 1</t>
  </si>
  <si>
    <t>YEAR 6 SEMESTER 2</t>
  </si>
  <si>
    <t>Yr.6 CGPA</t>
  </si>
  <si>
    <t>∑TCP</t>
  </si>
  <si>
    <t>∑TQP</t>
  </si>
  <si>
    <t>OFFICE OF THE REGISTRAR</t>
  </si>
  <si>
    <t>CSC 101</t>
  </si>
  <si>
    <t>BIO 101</t>
  </si>
  <si>
    <t>INTRODUCTION TO COMPUTER SCIENCE AND PROGRAMMING</t>
  </si>
  <si>
    <t>ELEMENTARY MATHEMATICS I</t>
  </si>
  <si>
    <t>GENERAL PHYSICS LAB I</t>
  </si>
  <si>
    <t>GENERAL BIOLOGY</t>
  </si>
  <si>
    <t>USE OF ENGLISH II</t>
  </si>
  <si>
    <t>CSC 102</t>
  </si>
  <si>
    <t>INTRODUCTION TO COMPUTER SCIENCE AND PROGRAMMING II</t>
  </si>
  <si>
    <t>CSC 113</t>
  </si>
  <si>
    <t>COMPUTER PRACTICE</t>
  </si>
  <si>
    <t>MAT 111</t>
  </si>
  <si>
    <t>INTRODUCTION TO ACTURIAL MATHEMATICS</t>
  </si>
  <si>
    <t>STA 132</t>
  </si>
  <si>
    <t>STATISTICAL METHOD II</t>
  </si>
  <si>
    <t>CSC 211</t>
  </si>
  <si>
    <t>MAT 161</t>
  </si>
  <si>
    <t>INTRODUCTION TO DIGITAL DESIGN (ALGORITHM)</t>
  </si>
  <si>
    <t xml:space="preserve"> MECHANICS</t>
  </si>
  <si>
    <t>ORDINARY DIFFERENTIAL EQUATION</t>
  </si>
  <si>
    <t>CSC 221</t>
  </si>
  <si>
    <t>FILE PROCESSING</t>
  </si>
  <si>
    <t>MAT 203</t>
  </si>
  <si>
    <t>LINEAR ALGEBRA II</t>
  </si>
  <si>
    <t>PHY 202</t>
  </si>
  <si>
    <t>ELECTRIC CIRCUIT AND ELECTRONICS</t>
  </si>
  <si>
    <t>CSC 212</t>
  </si>
  <si>
    <t>ASSEMBLY LANGUAGE PROGRAMMING</t>
  </si>
  <si>
    <t>CSC 311</t>
  </si>
  <si>
    <t>LOGIC CIRCUIT</t>
  </si>
  <si>
    <t>CSC 321</t>
  </si>
  <si>
    <t>OPERATING SYSTEM</t>
  </si>
  <si>
    <t>CSC 312</t>
  </si>
  <si>
    <t>ARCHITECTURE I</t>
  </si>
  <si>
    <t>MAT 251</t>
  </si>
  <si>
    <t>INTRODUCTION TO REAL ANALYSIS</t>
  </si>
  <si>
    <t>CSC 313</t>
  </si>
  <si>
    <t>COMPILER CONSTRUCTION</t>
  </si>
  <si>
    <t>CSC 331</t>
  </si>
  <si>
    <t>DATA STRUCTURE AND ALGORITHM</t>
  </si>
  <si>
    <t>CSC 332</t>
  </si>
  <si>
    <t>SYSTEM ANALYSIS AND DESIGN</t>
  </si>
  <si>
    <t>CSC 342</t>
  </si>
  <si>
    <t>OPERATION RESEARCH</t>
  </si>
  <si>
    <t>CSC 314</t>
  </si>
  <si>
    <t>ARCHITECTURE II</t>
  </si>
  <si>
    <t>MAT 221</t>
  </si>
  <si>
    <t>NUMERICAL METHODS</t>
  </si>
  <si>
    <t>CSC 261</t>
  </si>
  <si>
    <t>INFORMATION TECHNOLOGY</t>
  </si>
  <si>
    <t>CSC 231</t>
  </si>
  <si>
    <t>AUTOMATA THEORY</t>
  </si>
  <si>
    <t>MAT 231</t>
  </si>
  <si>
    <t>CALCULUS</t>
  </si>
  <si>
    <t>MAT 311</t>
  </si>
  <si>
    <t>OPTIMIZATION THEORY AND METHODS I</t>
  </si>
  <si>
    <t>CSC 222</t>
  </si>
  <si>
    <t>DATA MANAGEMENT</t>
  </si>
  <si>
    <t>CSC 232</t>
  </si>
  <si>
    <t>DATABASE DESIGN AND MANAGEMENT</t>
  </si>
  <si>
    <t>CSC 341</t>
  </si>
  <si>
    <t>COMPUTATIONAL COURSE AND NUMERICAL METHODS I</t>
  </si>
  <si>
    <t>CSC 412</t>
  </si>
  <si>
    <t>COMPUTER GRAPHICS AND VISUALISATION</t>
  </si>
  <si>
    <t>CSC 421</t>
  </si>
  <si>
    <t>ORGANISATION OF PROGRAMMING LANGUAGES</t>
  </si>
  <si>
    <t>CSC 422</t>
  </si>
  <si>
    <t>SOFTWARE DEVELOPMENT AND MANAGEMENT</t>
  </si>
  <si>
    <t>CSC 431</t>
  </si>
  <si>
    <t>ALGORITHM AND COMPLEXITY THEORY</t>
  </si>
  <si>
    <t xml:space="preserve"> CSC 371</t>
  </si>
  <si>
    <t>INFORMATION SYSTEMS AND MANAGEMENT</t>
  </si>
  <si>
    <t>CSC 401</t>
  </si>
  <si>
    <t>DATA COMMUNICATION AND NETWORK</t>
  </si>
  <si>
    <t>MAT 343</t>
  </si>
  <si>
    <t>DISCRETE MATHEMATICS</t>
  </si>
  <si>
    <t>CSC 442</t>
  </si>
  <si>
    <t>COMPUTER MODELING AND SIMULATION</t>
  </si>
  <si>
    <t>CSC 452</t>
  </si>
  <si>
    <t>EXPERT SYSTEMS</t>
  </si>
  <si>
    <t>CSC 462</t>
  </si>
  <si>
    <t>COMPUTER INSTALLATION AND MANAGEMENT</t>
  </si>
  <si>
    <t>CSC 492</t>
  </si>
  <si>
    <t>REMOTE SENSING AND GIS</t>
  </si>
  <si>
    <t>0</t>
  </si>
  <si>
    <t>CSC 441</t>
  </si>
  <si>
    <t>RESEARCH METHODS AND SEMINAR</t>
  </si>
  <si>
    <t>CSC 451</t>
  </si>
  <si>
    <t>ARTIFICIAL INTELLIGENCE</t>
  </si>
  <si>
    <t>CSC 461</t>
  </si>
  <si>
    <t>OBJECT ORIENTED PROGRAMMING</t>
  </si>
  <si>
    <t>CSC 471</t>
  </si>
  <si>
    <t>WEB DESIGN, APPLICATION AND MANAGEMENT</t>
  </si>
  <si>
    <t>CSC 491</t>
  </si>
  <si>
    <t>IT PROJECT EVALUATION AND MANAGEMENT</t>
  </si>
  <si>
    <t>CSC 499</t>
  </si>
  <si>
    <t>COMPUTER SCIENCE</t>
  </si>
  <si>
    <t>PHYSICAL SCIENCES</t>
  </si>
  <si>
    <t>CHINONSO 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</si>
</sst>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  <font>
      <b/>
      <sz val="12"/>
      <color theme="1"/>
      <name val="Corbel"/>
      <family val="2"/>
      <scheme val="minor"/>
    </font>
    <font>
      <b/>
      <sz val="12"/>
      <color theme="0"/>
      <name val="Corbel"/>
      <family val="2"/>
      <scheme val="minor"/>
    </font>
    <font>
      <b/>
      <sz val="11"/>
      <color rgb="FF3F3F3F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14"/>
      <name val="Consolas"/>
      <family val="3"/>
      <scheme val="major"/>
    </font>
    <font>
      <b/>
      <sz val="12"/>
      <color theme="0"/>
      <name val="Consolas"/>
      <family val="3"/>
      <scheme val="major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1"/>
      <color theme="1"/>
      <name val="Consolas"/>
      <family val="3"/>
      <scheme val="major"/>
    </font>
    <font>
      <b/>
      <sz val="12"/>
      <color theme="1"/>
      <name val="Consolas"/>
      <family val="3"/>
      <scheme val="major"/>
    </font>
    <font>
      <b/>
      <sz val="16"/>
      <color theme="0"/>
      <name val="Cambria"/>
      <family val="1"/>
    </font>
    <font>
      <b/>
      <sz val="12"/>
      <color rgb="FFC00000"/>
      <name val="Calibri"/>
      <family val="2"/>
    </font>
    <font>
      <sz val="10"/>
      <color theme="1"/>
      <name val="Consolas"/>
      <family val="3"/>
      <scheme val="major"/>
    </font>
    <font>
      <b/>
      <sz val="9"/>
      <color theme="1"/>
      <name val="Tahoma"/>
      <family val="2"/>
    </font>
    <font>
      <u/>
      <sz val="10"/>
      <color theme="1"/>
      <name val="Consolas"/>
      <family val="3"/>
      <scheme val="major"/>
    </font>
    <font>
      <sz val="14"/>
      <color theme="1"/>
      <name val="Consolas"/>
      <family val="3"/>
      <scheme val="major"/>
    </font>
    <font>
      <b/>
      <sz val="12"/>
      <name val="Calibri"/>
      <family val="2"/>
    </font>
    <font>
      <b/>
      <sz val="12"/>
      <name val="Castellar"/>
      <family val="1"/>
    </font>
    <font>
      <b/>
      <sz val="12"/>
      <name val="Consolas"/>
      <family val="3"/>
      <scheme val="major"/>
    </font>
    <font>
      <b/>
      <sz val="11"/>
      <name val="Castellar"/>
      <family val="1"/>
    </font>
    <font>
      <b/>
      <sz val="11"/>
      <name val="Consolas"/>
      <family val="3"/>
      <scheme val="major"/>
    </font>
    <font>
      <b/>
      <sz val="12"/>
      <color theme="0"/>
      <name val="Britannic Bold"/>
      <family val="2"/>
    </font>
    <font>
      <sz val="11"/>
      <color theme="1"/>
      <name val="Consolas"/>
      <family val="3"/>
      <scheme val="major"/>
    </font>
    <font>
      <b/>
      <sz val="11"/>
      <color theme="1"/>
      <name val="Calibri"/>
      <family val="2"/>
    </font>
    <font>
      <b/>
      <sz val="14"/>
      <color theme="0"/>
      <name val="Cambria"/>
      <family val="1"/>
    </font>
    <font>
      <b/>
      <sz val="12"/>
      <color theme="1"/>
      <name val="Calibri"/>
      <family val="2"/>
    </font>
    <font>
      <b/>
      <u/>
      <sz val="12"/>
      <color rgb="FFC00000"/>
      <name val="Calibri"/>
      <family val="2"/>
    </font>
    <font>
      <b/>
      <sz val="14"/>
      <color theme="1"/>
      <name val="Consolas"/>
      <family val="3"/>
      <scheme val="major"/>
    </font>
    <font>
      <b/>
      <sz val="14"/>
      <color rgb="FFFF0000"/>
      <name val="Consolas"/>
      <family val="3"/>
      <scheme val="major"/>
    </font>
    <font>
      <b/>
      <sz val="12"/>
      <color theme="1"/>
      <name val="Cambria"/>
      <family val="1"/>
    </font>
    <font>
      <b/>
      <sz val="14"/>
      <name val="Times New Roman"/>
      <family val="1"/>
    </font>
    <font>
      <b/>
      <sz val="16"/>
      <name val="Cambria"/>
      <family val="1"/>
    </font>
    <font>
      <b/>
      <sz val="14"/>
      <name val="Cambria"/>
      <family val="1"/>
    </font>
    <font>
      <sz val="11"/>
      <name val="Corbel"/>
      <family val="2"/>
      <scheme val="minor"/>
    </font>
    <font>
      <b/>
      <sz val="12"/>
      <name val="Britannic Bold"/>
      <family val="2"/>
    </font>
    <font>
      <sz val="12"/>
      <color theme="1"/>
      <name val="Consolas"/>
      <family val="3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rgb="FF7030A0"/>
      </right>
      <top style="medium">
        <color indexed="64"/>
      </top>
      <bottom style="medium">
        <color indexed="64"/>
      </bottom>
      <diagonal/>
    </border>
    <border>
      <left style="medium">
        <color rgb="FF7030A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2" borderId="2" applyNumberFormat="0" applyAlignment="0" applyProtection="0"/>
  </cellStyleXfs>
  <cellXfs count="266">
    <xf numFmtId="0" fontId="0" fillId="0" borderId="0" xfId="0"/>
    <xf numFmtId="0" fontId="14" fillId="4" borderId="0" xfId="0" applyFon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0" fillId="4" borderId="12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13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2" fillId="4" borderId="10" xfId="0" applyFont="1" applyFill="1" applyBorder="1" applyProtection="1"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5" xfId="0" applyFill="1" applyBorder="1" applyProtection="1">
      <protection locked="0"/>
    </xf>
    <xf numFmtId="0" fontId="0" fillId="4" borderId="14" xfId="0" applyFill="1" applyBorder="1" applyProtection="1">
      <protection locked="0"/>
    </xf>
    <xf numFmtId="0" fontId="0" fillId="4" borderId="16" xfId="0" applyFill="1" applyBorder="1" applyProtection="1">
      <protection locked="0"/>
    </xf>
    <xf numFmtId="0" fontId="2" fillId="4" borderId="19" xfId="0" applyFont="1" applyFill="1" applyBorder="1" applyProtection="1">
      <protection locked="0"/>
    </xf>
    <xf numFmtId="0" fontId="2" fillId="4" borderId="14" xfId="0" applyFont="1" applyFill="1" applyBorder="1" applyAlignment="1" applyProtection="1">
      <alignment horizontal="center"/>
      <protection locked="0"/>
    </xf>
    <xf numFmtId="0" fontId="0" fillId="4" borderId="19" xfId="0" applyFill="1" applyBorder="1" applyProtection="1">
      <protection locked="0"/>
    </xf>
    <xf numFmtId="0" fontId="0" fillId="4" borderId="22" xfId="0" applyFill="1" applyBorder="1" applyProtection="1">
      <protection locked="0"/>
    </xf>
    <xf numFmtId="0" fontId="0" fillId="4" borderId="21" xfId="0" applyFill="1" applyBorder="1" applyProtection="1">
      <protection locked="0"/>
    </xf>
    <xf numFmtId="0" fontId="0" fillId="4" borderId="23" xfId="0" applyFill="1" applyBorder="1" applyProtection="1">
      <protection locked="0"/>
    </xf>
    <xf numFmtId="0" fontId="0" fillId="4" borderId="24" xfId="0" applyFill="1" applyBorder="1" applyProtection="1">
      <protection locked="0"/>
    </xf>
    <xf numFmtId="0" fontId="0" fillId="4" borderId="23" xfId="0" applyFill="1" applyBorder="1"/>
    <xf numFmtId="0" fontId="0" fillId="0" borderId="28" xfId="0" applyBorder="1"/>
    <xf numFmtId="0" fontId="11" fillId="6" borderId="1" xfId="0" applyFont="1" applyFill="1" applyBorder="1" applyAlignment="1" applyProtection="1">
      <alignment horizontal="center"/>
      <protection locked="0"/>
    </xf>
    <xf numFmtId="0" fontId="25" fillId="6" borderId="1" xfId="0" applyFont="1" applyFill="1" applyBorder="1" applyAlignment="1" applyProtection="1">
      <alignment horizontal="center"/>
      <protection locked="0"/>
    </xf>
    <xf numFmtId="0" fontId="0" fillId="0" borderId="19" xfId="0" applyBorder="1"/>
    <xf numFmtId="0" fontId="0" fillId="0" borderId="14" xfId="0" applyBorder="1"/>
    <xf numFmtId="0" fontId="0" fillId="4" borderId="0" xfId="0" applyFill="1"/>
    <xf numFmtId="0" fontId="13" fillId="4" borderId="0" xfId="0" applyFont="1" applyFill="1" applyAlignment="1">
      <alignment horizontal="center" wrapText="1"/>
    </xf>
    <xf numFmtId="0" fontId="0" fillId="4" borderId="0" xfId="0" applyFill="1" applyAlignment="1" applyProtection="1">
      <alignment horizontal="center"/>
      <protection locked="0"/>
    </xf>
    <xf numFmtId="0" fontId="14" fillId="4" borderId="12" xfId="0" applyFont="1" applyFill="1" applyBorder="1" applyAlignment="1" applyProtection="1">
      <alignment horizontal="center"/>
      <protection locked="0"/>
    </xf>
    <xf numFmtId="0" fontId="19" fillId="4" borderId="0" xfId="0" applyFont="1" applyFill="1" applyAlignment="1" applyProtection="1">
      <alignment horizontal="center"/>
      <protection locked="0"/>
    </xf>
    <xf numFmtId="0" fontId="13" fillId="4" borderId="0" xfId="0" applyFont="1" applyFill="1"/>
    <xf numFmtId="0" fontId="0" fillId="4" borderId="4" xfId="0" applyFill="1" applyBorder="1" applyProtection="1">
      <protection locked="0"/>
    </xf>
    <xf numFmtId="0" fontId="27" fillId="4" borderId="12" xfId="0" applyFont="1" applyFill="1" applyBorder="1"/>
    <xf numFmtId="0" fontId="0" fillId="5" borderId="34" xfId="0" applyFill="1" applyBorder="1" applyProtection="1">
      <protection hidden="1"/>
    </xf>
    <xf numFmtId="0" fontId="0" fillId="4" borderId="28" xfId="0" applyFill="1" applyBorder="1" applyProtection="1">
      <protection locked="0"/>
    </xf>
    <xf numFmtId="0" fontId="0" fillId="4" borderId="28" xfId="0" applyFill="1" applyBorder="1"/>
    <xf numFmtId="0" fontId="11" fillId="6" borderId="9" xfId="0" applyFont="1" applyFill="1" applyBorder="1" applyAlignment="1" applyProtection="1">
      <alignment horizontal="left"/>
      <protection locked="0"/>
    </xf>
    <xf numFmtId="0" fontId="25" fillId="6" borderId="9" xfId="0" applyFont="1" applyFill="1" applyBorder="1" applyAlignment="1" applyProtection="1">
      <alignment horizontal="left"/>
      <protection locked="0"/>
    </xf>
    <xf numFmtId="0" fontId="25" fillId="6" borderId="9" xfId="0" applyFont="1" applyFill="1" applyBorder="1" applyAlignment="1">
      <alignment horizontal="left"/>
    </xf>
    <xf numFmtId="0" fontId="0" fillId="4" borderId="4" xfId="0" applyFill="1" applyBorder="1"/>
    <xf numFmtId="0" fontId="25" fillId="6" borderId="29" xfId="0" applyFont="1" applyFill="1" applyBorder="1" applyAlignment="1" applyProtection="1">
      <alignment horizontal="center"/>
      <protection locked="0"/>
    </xf>
    <xf numFmtId="0" fontId="25" fillId="6" borderId="32" xfId="0" applyFont="1" applyFill="1" applyBorder="1" applyAlignment="1">
      <alignment horizontal="left"/>
    </xf>
    <xf numFmtId="0" fontId="0" fillId="4" borderId="38" xfId="0" applyFill="1" applyBorder="1"/>
    <xf numFmtId="0" fontId="14" fillId="4" borderId="4" xfId="0" applyFont="1" applyFill="1" applyBorder="1" applyAlignment="1" applyProtection="1">
      <alignment horizontal="center"/>
      <protection locked="0"/>
    </xf>
    <xf numFmtId="0" fontId="19" fillId="4" borderId="7" xfId="0" applyFont="1" applyFill="1" applyBorder="1" applyProtection="1">
      <protection locked="0"/>
    </xf>
    <xf numFmtId="0" fontId="19" fillId="4" borderId="0" xfId="0" applyFont="1" applyFill="1" applyProtection="1">
      <protection locked="0"/>
    </xf>
    <xf numFmtId="0" fontId="0" fillId="7" borderId="34" xfId="0" applyFill="1" applyBorder="1" applyProtection="1">
      <protection hidden="1"/>
    </xf>
    <xf numFmtId="2" fontId="8" fillId="4" borderId="14" xfId="0" applyNumberFormat="1" applyFont="1" applyFill="1" applyBorder="1" applyAlignment="1" applyProtection="1">
      <alignment horizontal="center"/>
      <protection hidden="1"/>
    </xf>
    <xf numFmtId="0" fontId="0" fillId="4" borderId="31" xfId="0" applyFill="1" applyBorder="1" applyAlignment="1" applyProtection="1">
      <alignment horizontal="center"/>
      <protection locked="0"/>
    </xf>
    <xf numFmtId="0" fontId="0" fillId="4" borderId="12" xfId="0" applyFill="1" applyBorder="1"/>
    <xf numFmtId="0" fontId="0" fillId="4" borderId="11" xfId="0" applyFill="1" applyBorder="1"/>
    <xf numFmtId="0" fontId="0" fillId="0" borderId="34" xfId="0" applyBorder="1"/>
    <xf numFmtId="0" fontId="13" fillId="4" borderId="14" xfId="0" applyFont="1" applyFill="1" applyBorder="1" applyAlignment="1">
      <alignment wrapText="1"/>
    </xf>
    <xf numFmtId="0" fontId="14" fillId="4" borderId="0" xfId="0" applyFont="1" applyFill="1" applyProtection="1">
      <protection locked="0"/>
    </xf>
    <xf numFmtId="0" fontId="34" fillId="4" borderId="0" xfId="0" applyFont="1" applyFill="1" applyAlignment="1">
      <alignment horizontal="center" wrapText="1"/>
    </xf>
    <xf numFmtId="0" fontId="34" fillId="4" borderId="14" xfId="0" applyFont="1" applyFill="1" applyBorder="1" applyAlignment="1">
      <alignment wrapText="1"/>
    </xf>
    <xf numFmtId="0" fontId="34" fillId="4" borderId="16" xfId="0" applyFont="1" applyFill="1" applyBorder="1" applyAlignment="1">
      <alignment wrapText="1"/>
    </xf>
    <xf numFmtId="0" fontId="35" fillId="4" borderId="0" xfId="0" applyFont="1" applyFill="1" applyAlignment="1">
      <alignment horizontal="center" vertical="center" wrapText="1"/>
    </xf>
    <xf numFmtId="0" fontId="35" fillId="4" borderId="12" xfId="0" applyFont="1" applyFill="1" applyBorder="1" applyAlignment="1">
      <alignment horizontal="center"/>
    </xf>
    <xf numFmtId="0" fontId="34" fillId="4" borderId="0" xfId="0" applyFont="1" applyFill="1" applyAlignment="1">
      <alignment wrapText="1"/>
    </xf>
    <xf numFmtId="0" fontId="3" fillId="9" borderId="1" xfId="0" applyFont="1" applyFill="1" applyBorder="1" applyAlignment="1" applyProtection="1">
      <alignment horizontal="center"/>
      <protection locked="0"/>
    </xf>
    <xf numFmtId="0" fontId="3" fillId="9" borderId="6" xfId="0" applyFont="1" applyFill="1" applyBorder="1" applyAlignment="1" applyProtection="1">
      <alignment horizontal="center"/>
      <protection locked="0"/>
    </xf>
    <xf numFmtId="0" fontId="3" fillId="9" borderId="9" xfId="0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wrapText="1"/>
      <protection locked="0"/>
    </xf>
    <xf numFmtId="0" fontId="3" fillId="9" borderId="10" xfId="0" applyFont="1" applyFill="1" applyBorder="1" applyAlignment="1" applyProtection="1">
      <alignment horizontal="center" wrapText="1"/>
      <protection locked="0"/>
    </xf>
    <xf numFmtId="0" fontId="3" fillId="9" borderId="26" xfId="0" applyFont="1" applyFill="1" applyBorder="1" applyAlignment="1" applyProtection="1">
      <alignment horizontal="center" wrapText="1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hidden="1"/>
    </xf>
    <xf numFmtId="0" fontId="0" fillId="8" borderId="26" xfId="0" applyFill="1" applyBorder="1" applyAlignment="1" applyProtection="1">
      <alignment horizontal="center"/>
      <protection hidden="1"/>
    </xf>
    <xf numFmtId="0" fontId="0" fillId="8" borderId="9" xfId="0" applyFill="1" applyBorder="1" applyAlignment="1" applyProtection="1">
      <alignment horizontal="center"/>
      <protection hidden="1"/>
    </xf>
    <xf numFmtId="0" fontId="26" fillId="8" borderId="10" xfId="0" applyFont="1" applyFill="1" applyBorder="1" applyAlignment="1" applyProtection="1">
      <alignment horizontal="center"/>
      <protection locked="0"/>
    </xf>
    <xf numFmtId="0" fontId="1" fillId="8" borderId="6" xfId="0" applyFont="1" applyFill="1" applyBorder="1" applyAlignment="1" applyProtection="1">
      <alignment horizontal="left"/>
      <protection locked="0"/>
    </xf>
    <xf numFmtId="0" fontId="0" fillId="8" borderId="6" xfId="0" applyFill="1" applyBorder="1" applyAlignment="1" applyProtection="1">
      <alignment horizontal="center"/>
      <protection locked="0"/>
    </xf>
    <xf numFmtId="0" fontId="10" fillId="9" borderId="6" xfId="0" applyFont="1" applyFill="1" applyBorder="1" applyAlignment="1" applyProtection="1">
      <alignment horizontal="right"/>
      <protection locked="0"/>
    </xf>
    <xf numFmtId="0" fontId="12" fillId="9" borderId="6" xfId="0" applyFont="1" applyFill="1" applyBorder="1" applyAlignment="1" applyProtection="1">
      <alignment horizontal="center"/>
      <protection hidden="1"/>
    </xf>
    <xf numFmtId="0" fontId="6" fillId="9" borderId="6" xfId="0" applyFont="1" applyFill="1" applyBorder="1" applyAlignment="1" applyProtection="1">
      <alignment horizontal="center"/>
      <protection locked="0"/>
    </xf>
    <xf numFmtId="0" fontId="12" fillId="9" borderId="3" xfId="0" applyFont="1" applyFill="1" applyBorder="1" applyAlignment="1" applyProtection="1">
      <alignment horizontal="center"/>
      <protection hidden="1"/>
    </xf>
    <xf numFmtId="0" fontId="20" fillId="9" borderId="20" xfId="0" applyFont="1" applyFill="1" applyBorder="1" applyAlignment="1">
      <alignment horizontal="center"/>
    </xf>
    <xf numFmtId="2" fontId="21" fillId="9" borderId="21" xfId="0" applyNumberFormat="1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locked="0"/>
    </xf>
    <xf numFmtId="0" fontId="3" fillId="9" borderId="5" xfId="0" applyFont="1" applyFill="1" applyBorder="1" applyAlignment="1" applyProtection="1">
      <alignment horizontal="center" wrapText="1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9" fillId="9" borderId="1" xfId="0" applyFont="1" applyFill="1" applyBorder="1" applyAlignment="1" applyProtection="1">
      <alignment horizontal="right"/>
      <protection locked="0"/>
    </xf>
    <xf numFmtId="0" fontId="12" fillId="9" borderId="1" xfId="0" applyFont="1" applyFill="1" applyBorder="1" applyAlignment="1" applyProtection="1">
      <alignment horizontal="center"/>
      <protection hidden="1"/>
    </xf>
    <xf numFmtId="0" fontId="12" fillId="9" borderId="9" xfId="0" applyFont="1" applyFill="1" applyBorder="1" applyAlignment="1" applyProtection="1">
      <alignment horizontal="center"/>
      <protection hidden="1"/>
    </xf>
    <xf numFmtId="0" fontId="22" fillId="9" borderId="20" xfId="0" applyFont="1" applyFill="1" applyBorder="1" applyAlignment="1">
      <alignment horizontal="center"/>
    </xf>
    <xf numFmtId="2" fontId="23" fillId="9" borderId="21" xfId="0" applyNumberFormat="1" applyFont="1" applyFill="1" applyBorder="1" applyAlignment="1" applyProtection="1">
      <alignment horizontal="center"/>
      <protection hidden="1"/>
    </xf>
    <xf numFmtId="0" fontId="22" fillId="9" borderId="19" xfId="0" applyFont="1" applyFill="1" applyBorder="1" applyAlignment="1">
      <alignment horizontal="center"/>
    </xf>
    <xf numFmtId="0" fontId="22" fillId="9" borderId="25" xfId="0" applyFont="1" applyFill="1" applyBorder="1" applyAlignment="1">
      <alignment horizontal="center"/>
    </xf>
    <xf numFmtId="2" fontId="23" fillId="9" borderId="16" xfId="0" applyNumberFormat="1" applyFont="1" applyFill="1" applyBorder="1" applyAlignment="1" applyProtection="1">
      <alignment horizontal="center"/>
      <protection hidden="1"/>
    </xf>
    <xf numFmtId="2" fontId="23" fillId="9" borderId="26" xfId="0" applyNumberFormat="1" applyFont="1" applyFill="1" applyBorder="1" applyAlignment="1" applyProtection="1">
      <alignment horizontal="center"/>
      <protection hidden="1"/>
    </xf>
    <xf numFmtId="0" fontId="0" fillId="9" borderId="6" xfId="0" applyFill="1" applyBorder="1" applyAlignment="1" applyProtection="1">
      <alignment horizontal="center"/>
      <protection locked="0"/>
    </xf>
    <xf numFmtId="0" fontId="12" fillId="9" borderId="26" xfId="0" applyFont="1" applyFill="1" applyBorder="1" applyAlignment="1" applyProtection="1">
      <alignment horizontal="center"/>
      <protection hidden="1"/>
    </xf>
    <xf numFmtId="0" fontId="9" fillId="9" borderId="29" xfId="0" applyFont="1" applyFill="1" applyBorder="1" applyAlignment="1" applyProtection="1">
      <alignment horizontal="right"/>
      <protection locked="0"/>
    </xf>
    <xf numFmtId="0" fontId="0" fillId="9" borderId="29" xfId="0" applyFill="1" applyBorder="1" applyAlignment="1" applyProtection="1">
      <alignment horizontal="center"/>
      <protection locked="0"/>
    </xf>
    <xf numFmtId="0" fontId="12" fillId="9" borderId="30" xfId="0" applyFont="1" applyFill="1" applyBorder="1" applyAlignment="1" applyProtection="1">
      <alignment horizontal="center"/>
      <protection hidden="1"/>
    </xf>
    <xf numFmtId="0" fontId="0" fillId="9" borderId="33" xfId="0" applyFill="1" applyBorder="1"/>
    <xf numFmtId="0" fontId="0" fillId="9" borderId="35" xfId="0" applyFill="1" applyBorder="1"/>
    <xf numFmtId="0" fontId="0" fillId="9" borderId="36" xfId="0" applyFill="1" applyBorder="1"/>
    <xf numFmtId="0" fontId="26" fillId="8" borderId="1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left"/>
      <protection locked="0"/>
    </xf>
    <xf numFmtId="0" fontId="1" fillId="8" borderId="1" xfId="0" applyFont="1" applyFill="1" applyBorder="1" applyProtection="1"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1" fillId="4" borderId="31" xfId="0" applyFont="1" applyFill="1" applyBorder="1" applyAlignment="1" applyProtection="1">
      <alignment horizontal="left" vertical="center"/>
      <protection locked="0"/>
    </xf>
    <xf numFmtId="0" fontId="21" fillId="4" borderId="1" xfId="0" applyFont="1" applyFill="1" applyBorder="1" applyAlignment="1" applyProtection="1">
      <alignment horizontal="left" vertical="center"/>
      <protection locked="0"/>
    </xf>
    <xf numFmtId="0" fontId="36" fillId="4" borderId="19" xfId="0" applyFont="1" applyFill="1" applyBorder="1"/>
    <xf numFmtId="0" fontId="0" fillId="4" borderId="19" xfId="0" applyFill="1" applyBorder="1"/>
    <xf numFmtId="0" fontId="0" fillId="4" borderId="24" xfId="0" applyFill="1" applyBorder="1"/>
    <xf numFmtId="0" fontId="3" fillId="9" borderId="20" xfId="0" applyFont="1" applyFill="1" applyBorder="1" applyAlignment="1" applyProtection="1">
      <alignment horizontal="center"/>
      <protection locked="0"/>
    </xf>
    <xf numFmtId="0" fontId="0" fillId="8" borderId="20" xfId="0" applyFill="1" applyBorder="1" applyAlignment="1" applyProtection="1">
      <alignment horizontal="center"/>
      <protection locked="0"/>
    </xf>
    <xf numFmtId="0" fontId="0" fillId="4" borderId="17" xfId="0" applyFill="1" applyBorder="1" applyProtection="1">
      <protection locked="0"/>
    </xf>
    <xf numFmtId="0" fontId="0" fillId="4" borderId="34" xfId="0" applyFill="1" applyBorder="1"/>
    <xf numFmtId="0" fontId="0" fillId="9" borderId="34" xfId="0" applyFill="1" applyBorder="1"/>
    <xf numFmtId="0" fontId="0" fillId="4" borderId="23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22" xfId="0" applyFill="1" applyBorder="1" applyAlignment="1" applyProtection="1">
      <alignment horizontal="center"/>
      <protection locked="0"/>
    </xf>
    <xf numFmtId="0" fontId="2" fillId="4" borderId="22" xfId="0" applyFont="1" applyFill="1" applyBorder="1" applyProtection="1">
      <protection locked="0"/>
    </xf>
    <xf numFmtId="0" fontId="0" fillId="9" borderId="41" xfId="0" applyFill="1" applyBorder="1" applyAlignment="1" applyProtection="1">
      <alignment horizontal="center"/>
      <protection locked="0"/>
    </xf>
    <xf numFmtId="0" fontId="12" fillId="9" borderId="29" xfId="0" applyFont="1" applyFill="1" applyBorder="1" applyAlignment="1" applyProtection="1">
      <alignment horizontal="center"/>
      <protection hidden="1"/>
    </xf>
    <xf numFmtId="0" fontId="37" fillId="8" borderId="41" xfId="0" applyFont="1" applyFill="1" applyBorder="1" applyAlignment="1">
      <alignment horizontal="center"/>
    </xf>
    <xf numFmtId="2" fontId="21" fillId="4" borderId="28" xfId="0" applyNumberFormat="1" applyFont="1" applyFill="1" applyBorder="1" applyAlignment="1" applyProtection="1">
      <alignment horizontal="center"/>
      <protection hidden="1"/>
    </xf>
    <xf numFmtId="0" fontId="0" fillId="4" borderId="33" xfId="0" applyFill="1" applyBorder="1" applyAlignment="1" applyProtection="1">
      <alignment horizontal="center"/>
      <protection locked="0"/>
    </xf>
    <xf numFmtId="0" fontId="0" fillId="4" borderId="33" xfId="0" applyFill="1" applyBorder="1" applyProtection="1">
      <protection locked="0"/>
    </xf>
    <xf numFmtId="2" fontId="21" fillId="8" borderId="30" xfId="0" applyNumberFormat="1" applyFont="1" applyFill="1" applyBorder="1" applyAlignment="1" applyProtection="1">
      <alignment horizontal="center"/>
      <protection hidden="1"/>
    </xf>
    <xf numFmtId="0" fontId="0" fillId="4" borderId="17" xfId="0" applyFill="1" applyBorder="1" applyAlignment="1" applyProtection="1">
      <alignment horizontal="center"/>
      <protection locked="0"/>
    </xf>
    <xf numFmtId="0" fontId="37" fillId="4" borderId="28" xfId="0" applyFont="1" applyFill="1" applyBorder="1" applyAlignment="1">
      <alignment horizontal="center"/>
    </xf>
    <xf numFmtId="0" fontId="24" fillId="4" borderId="11" xfId="0" applyFont="1" applyFill="1" applyBorder="1" applyAlignment="1">
      <alignment horizontal="center"/>
    </xf>
    <xf numFmtId="0" fontId="0" fillId="4" borderId="7" xfId="0" applyFill="1" applyBorder="1"/>
    <xf numFmtId="0" fontId="12" fillId="8" borderId="46" xfId="0" applyFont="1" applyFill="1" applyBorder="1" applyAlignment="1">
      <alignment horizontal="center"/>
    </xf>
    <xf numFmtId="0" fontId="12" fillId="8" borderId="41" xfId="0" applyFont="1" applyFill="1" applyBorder="1" applyAlignment="1">
      <alignment horizontal="center"/>
    </xf>
    <xf numFmtId="0" fontId="38" fillId="8" borderId="42" xfId="0" applyFont="1" applyFill="1" applyBorder="1" applyAlignment="1" applyProtection="1">
      <alignment horizontal="center"/>
      <protection hidden="1"/>
    </xf>
    <xf numFmtId="0" fontId="38" fillId="8" borderId="32" xfId="0" applyFont="1" applyFill="1" applyBorder="1" applyAlignment="1" applyProtection="1">
      <alignment horizontal="center"/>
      <protection hidden="1"/>
    </xf>
    <xf numFmtId="2" fontId="21" fillId="8" borderId="49" xfId="0" applyNumberFormat="1" applyFont="1" applyFill="1" applyBorder="1" applyAlignment="1" applyProtection="1">
      <alignment horizontal="center"/>
      <protection hidden="1"/>
    </xf>
    <xf numFmtId="0" fontId="0" fillId="4" borderId="28" xfId="0" applyFill="1" applyBorder="1" applyAlignment="1" applyProtection="1">
      <alignment horizontal="center"/>
      <protection locked="0"/>
    </xf>
    <xf numFmtId="0" fontId="0" fillId="4" borderId="34" xfId="0" applyFill="1" applyBorder="1" applyAlignment="1" applyProtection="1">
      <alignment horizontal="center"/>
      <protection locked="0"/>
    </xf>
    <xf numFmtId="0" fontId="0" fillId="4" borderId="27" xfId="0" applyFill="1" applyBorder="1" applyProtection="1">
      <protection locked="0"/>
    </xf>
    <xf numFmtId="0" fontId="0" fillId="4" borderId="34" xfId="0" applyFill="1" applyBorder="1" applyProtection="1">
      <protection locked="0"/>
    </xf>
    <xf numFmtId="0" fontId="32" fillId="4" borderId="0" xfId="0" applyFont="1" applyFill="1" applyAlignment="1">
      <alignment horizontal="center"/>
    </xf>
    <xf numFmtId="0" fontId="32" fillId="4" borderId="28" xfId="0" applyFont="1" applyFill="1" applyBorder="1" applyAlignment="1">
      <alignment horizontal="center"/>
    </xf>
    <xf numFmtId="0" fontId="3" fillId="4" borderId="28" xfId="0" applyFont="1" applyFill="1" applyBorder="1" applyAlignment="1" applyProtection="1">
      <alignment horizontal="center"/>
      <protection locked="0"/>
    </xf>
    <xf numFmtId="0" fontId="32" fillId="4" borderId="28" xfId="0" applyFont="1" applyFill="1" applyBorder="1" applyAlignment="1" applyProtection="1">
      <alignment horizontal="center"/>
      <protection locked="0"/>
    </xf>
    <xf numFmtId="0" fontId="32" fillId="4" borderId="33" xfId="0" applyFont="1" applyFill="1" applyBorder="1" applyAlignment="1" applyProtection="1">
      <alignment horizontal="center"/>
      <protection locked="0"/>
    </xf>
    <xf numFmtId="0" fontId="3" fillId="4" borderId="34" xfId="0" applyFont="1" applyFill="1" applyBorder="1" applyAlignment="1" applyProtection="1">
      <alignment horizontal="center"/>
      <protection locked="0"/>
    </xf>
    <xf numFmtId="2" fontId="23" fillId="9" borderId="50" xfId="0" applyNumberFormat="1" applyFont="1" applyFill="1" applyBorder="1" applyAlignment="1" applyProtection="1">
      <alignment horizontal="center"/>
      <protection hidden="1"/>
    </xf>
    <xf numFmtId="2" fontId="23" fillId="9" borderId="51" xfId="0" applyNumberFormat="1" applyFont="1" applyFill="1" applyBorder="1" applyAlignment="1" applyProtection="1">
      <alignment horizontal="center"/>
      <protection hidden="1"/>
    </xf>
    <xf numFmtId="0" fontId="0" fillId="4" borderId="18" xfId="0" applyFill="1" applyBorder="1" applyProtection="1">
      <protection locked="0"/>
    </xf>
    <xf numFmtId="0" fontId="32" fillId="4" borderId="14" xfId="0" applyFont="1" applyFill="1" applyBorder="1" applyAlignment="1" applyProtection="1">
      <alignment horizontal="center"/>
      <protection locked="0"/>
    </xf>
    <xf numFmtId="0" fontId="32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0" fillId="4" borderId="18" xfId="0" applyFill="1" applyBorder="1"/>
    <xf numFmtId="2" fontId="23" fillId="9" borderId="52" xfId="0" applyNumberFormat="1" applyFont="1" applyFill="1" applyBorder="1" applyAlignment="1" applyProtection="1">
      <alignment horizontal="center"/>
      <protection hidden="1"/>
    </xf>
    <xf numFmtId="0" fontId="22" fillId="9" borderId="44" xfId="0" applyFont="1" applyFill="1" applyBorder="1" applyAlignment="1">
      <alignment horizontal="center"/>
    </xf>
    <xf numFmtId="0" fontId="0" fillId="4" borderId="45" xfId="0" applyFill="1" applyBorder="1" applyProtection="1">
      <protection locked="0"/>
    </xf>
    <xf numFmtId="0" fontId="20" fillId="9" borderId="53" xfId="0" applyFont="1" applyFill="1" applyBorder="1" applyAlignment="1">
      <alignment horizontal="center"/>
    </xf>
    <xf numFmtId="0" fontId="32" fillId="4" borderId="19" xfId="0" applyFont="1" applyFill="1" applyBorder="1" applyAlignment="1" applyProtection="1">
      <alignment horizontal="center"/>
      <protection locked="0"/>
    </xf>
    <xf numFmtId="0" fontId="37" fillId="8" borderId="39" xfId="0" applyFont="1" applyFill="1" applyBorder="1" applyAlignment="1">
      <alignment horizontal="center"/>
    </xf>
    <xf numFmtId="0" fontId="9" fillId="4" borderId="0" xfId="0" applyFont="1" applyFill="1" applyAlignment="1" applyProtection="1">
      <alignment horizontal="right"/>
      <protection locked="0"/>
    </xf>
    <xf numFmtId="0" fontId="12" fillId="4" borderId="0" xfId="0" applyFont="1" applyFill="1" applyAlignment="1" applyProtection="1">
      <alignment horizontal="center"/>
      <protection hidden="1"/>
    </xf>
    <xf numFmtId="0" fontId="0" fillId="4" borderId="33" xfId="0" applyFill="1" applyBorder="1"/>
    <xf numFmtId="2" fontId="21" fillId="4" borderId="0" xfId="0" applyNumberFormat="1" applyFont="1" applyFill="1" applyAlignment="1" applyProtection="1">
      <alignment horizontal="center"/>
      <protection hidden="1"/>
    </xf>
    <xf numFmtId="0" fontId="9" fillId="4" borderId="33" xfId="0" applyFont="1" applyFill="1" applyBorder="1" applyAlignment="1" applyProtection="1">
      <alignment horizontal="right"/>
      <protection locked="0"/>
    </xf>
    <xf numFmtId="0" fontId="12" fillId="4" borderId="27" xfId="0" applyFont="1" applyFill="1" applyBorder="1" applyAlignment="1" applyProtection="1">
      <alignment horizontal="center"/>
      <protection hidden="1"/>
    </xf>
    <xf numFmtId="0" fontId="0" fillId="4" borderId="14" xfId="0" applyFill="1" applyBorder="1"/>
    <xf numFmtId="0" fontId="12" fillId="4" borderId="11" xfId="0" applyFont="1" applyFill="1" applyBorder="1" applyAlignment="1" applyProtection="1">
      <alignment horizontal="left"/>
      <protection locked="0"/>
    </xf>
    <xf numFmtId="0" fontId="12" fillId="4" borderId="21" xfId="0" applyFont="1" applyFill="1" applyBorder="1" applyAlignment="1" applyProtection="1">
      <alignment horizontal="left"/>
      <protection locked="0"/>
    </xf>
    <xf numFmtId="14" fontId="12" fillId="4" borderId="11" xfId="0" applyNumberFormat="1" applyFont="1" applyFill="1" applyBorder="1" applyAlignment="1" applyProtection="1">
      <alignment horizontal="left"/>
      <protection locked="0"/>
    </xf>
    <xf numFmtId="0" fontId="32" fillId="8" borderId="17" xfId="0" applyFont="1" applyFill="1" applyBorder="1" applyAlignment="1" applyProtection="1">
      <alignment horizontal="center"/>
      <protection locked="0"/>
    </xf>
    <xf numFmtId="0" fontId="32" fillId="8" borderId="28" xfId="0" applyFont="1" applyFill="1" applyBorder="1" applyAlignment="1" applyProtection="1">
      <alignment horizontal="center"/>
      <protection locked="0"/>
    </xf>
    <xf numFmtId="0" fontId="32" fillId="8" borderId="18" xfId="0" applyFont="1" applyFill="1" applyBorder="1" applyAlignment="1" applyProtection="1">
      <alignment horizontal="center"/>
      <protection locked="0"/>
    </xf>
    <xf numFmtId="0" fontId="32" fillId="8" borderId="34" xfId="0" applyFont="1" applyFill="1" applyBorder="1" applyAlignment="1" applyProtection="1">
      <alignment horizontal="center"/>
      <protection locked="0"/>
    </xf>
    <xf numFmtId="0" fontId="32" fillId="8" borderId="33" xfId="0" applyFont="1" applyFill="1" applyBorder="1" applyAlignment="1" applyProtection="1">
      <alignment horizontal="center"/>
      <protection locked="0"/>
    </xf>
    <xf numFmtId="0" fontId="32" fillId="8" borderId="27" xfId="0" applyFont="1" applyFill="1" applyBorder="1" applyAlignment="1" applyProtection="1">
      <alignment horizontal="center"/>
      <protection locked="0"/>
    </xf>
    <xf numFmtId="0" fontId="3" fillId="8" borderId="17" xfId="0" applyFont="1" applyFill="1" applyBorder="1" applyAlignment="1" applyProtection="1">
      <alignment horizontal="center"/>
      <protection locked="0"/>
    </xf>
    <xf numFmtId="0" fontId="3" fillId="8" borderId="28" xfId="0" applyFont="1" applyFill="1" applyBorder="1" applyAlignment="1" applyProtection="1">
      <alignment horizontal="center"/>
      <protection locked="0"/>
    </xf>
    <xf numFmtId="0" fontId="3" fillId="8" borderId="18" xfId="0" applyFont="1" applyFill="1" applyBorder="1" applyAlignment="1" applyProtection="1">
      <alignment horizontal="center"/>
      <protection locked="0"/>
    </xf>
    <xf numFmtId="0" fontId="3" fillId="8" borderId="34" xfId="0" applyFont="1" applyFill="1" applyBorder="1" applyAlignment="1" applyProtection="1">
      <alignment horizontal="center"/>
      <protection locked="0"/>
    </xf>
    <xf numFmtId="0" fontId="3" fillId="8" borderId="33" xfId="0" applyFont="1" applyFill="1" applyBorder="1" applyAlignment="1" applyProtection="1">
      <alignment horizontal="center"/>
      <protection locked="0"/>
    </xf>
    <xf numFmtId="0" fontId="3" fillId="8" borderId="27" xfId="0" applyFont="1" applyFill="1" applyBorder="1" applyAlignment="1" applyProtection="1">
      <alignment horizontal="center"/>
      <protection locked="0"/>
    </xf>
    <xf numFmtId="0" fontId="12" fillId="4" borderId="12" xfId="0" applyFont="1" applyFill="1" applyBorder="1" applyAlignment="1" applyProtection="1">
      <alignment horizontal="left"/>
      <protection locked="0"/>
    </xf>
    <xf numFmtId="0" fontId="12" fillId="4" borderId="16" xfId="0" applyFont="1" applyFill="1" applyBorder="1" applyAlignment="1" applyProtection="1">
      <alignment horizontal="left"/>
      <protection locked="0"/>
    </xf>
    <xf numFmtId="14" fontId="12" fillId="4" borderId="22" xfId="0" applyNumberFormat="1" applyFont="1" applyFill="1" applyBorder="1" applyAlignment="1" applyProtection="1">
      <alignment horizontal="left"/>
      <protection locked="0"/>
    </xf>
    <xf numFmtId="0" fontId="32" fillId="8" borderId="17" xfId="0" applyFont="1" applyFill="1" applyBorder="1" applyAlignment="1">
      <alignment horizontal="center"/>
    </xf>
    <xf numFmtId="0" fontId="32" fillId="8" borderId="18" xfId="0" applyFont="1" applyFill="1" applyBorder="1" applyAlignment="1">
      <alignment horizontal="center"/>
    </xf>
    <xf numFmtId="0" fontId="32" fillId="8" borderId="34" xfId="0" applyFont="1" applyFill="1" applyBorder="1" applyAlignment="1">
      <alignment horizontal="center"/>
    </xf>
    <xf numFmtId="0" fontId="32" fillId="8" borderId="27" xfId="0" applyFont="1" applyFill="1" applyBorder="1" applyAlignment="1">
      <alignment horizontal="center"/>
    </xf>
    <xf numFmtId="0" fontId="23" fillId="4" borderId="19" xfId="0" applyFont="1" applyFill="1" applyBorder="1" applyAlignment="1" applyProtection="1">
      <alignment horizontal="center"/>
      <protection locked="0"/>
    </xf>
    <xf numFmtId="0" fontId="23" fillId="4" borderId="14" xfId="0" applyFont="1" applyFill="1" applyBorder="1" applyAlignment="1" applyProtection="1">
      <alignment horizontal="center"/>
      <protection locked="0"/>
    </xf>
    <xf numFmtId="0" fontId="23" fillId="4" borderId="34" xfId="0" applyFont="1" applyFill="1" applyBorder="1" applyAlignment="1" applyProtection="1">
      <alignment horizontal="center"/>
      <protection locked="0"/>
    </xf>
    <xf numFmtId="0" fontId="23" fillId="4" borderId="27" xfId="0" applyFont="1" applyFill="1" applyBorder="1" applyAlignment="1" applyProtection="1">
      <alignment horizontal="center"/>
      <protection locked="0"/>
    </xf>
    <xf numFmtId="0" fontId="21" fillId="4" borderId="19" xfId="0" applyFont="1" applyFill="1" applyBorder="1" applyAlignment="1" applyProtection="1">
      <alignment horizontal="center"/>
      <protection locked="0"/>
    </xf>
    <xf numFmtId="0" fontId="21" fillId="4" borderId="14" xfId="0" applyFont="1" applyFill="1" applyBorder="1" applyAlignment="1" applyProtection="1">
      <alignment horizontal="center"/>
      <protection locked="0"/>
    </xf>
    <xf numFmtId="0" fontId="21" fillId="4" borderId="8" xfId="0" applyFont="1" applyFill="1" applyBorder="1" applyAlignment="1" applyProtection="1">
      <alignment horizontal="center" wrapText="1"/>
      <protection locked="0"/>
    </xf>
    <xf numFmtId="0" fontId="21" fillId="4" borderId="15" xfId="0" applyFont="1" applyFill="1" applyBorder="1" applyAlignment="1" applyProtection="1">
      <alignment horizontal="center" wrapText="1"/>
      <protection locked="0"/>
    </xf>
    <xf numFmtId="0" fontId="21" fillId="4" borderId="33" xfId="0" applyFont="1" applyFill="1" applyBorder="1" applyAlignment="1" applyProtection="1">
      <alignment horizontal="center" wrapText="1"/>
      <protection locked="0"/>
    </xf>
    <xf numFmtId="0" fontId="12" fillId="4" borderId="45" xfId="0" applyFont="1" applyFill="1" applyBorder="1" applyAlignment="1" applyProtection="1">
      <alignment horizontal="left"/>
      <protection locked="0"/>
    </xf>
    <xf numFmtId="0" fontId="12" fillId="4" borderId="43" xfId="0" applyFont="1" applyFill="1" applyBorder="1" applyAlignment="1" applyProtection="1">
      <alignment horizontal="left"/>
      <protection locked="0"/>
    </xf>
    <xf numFmtId="0" fontId="12" fillId="4" borderId="22" xfId="0" applyFont="1" applyFill="1" applyBorder="1" applyAlignment="1" applyProtection="1">
      <alignment horizontal="left"/>
      <protection locked="0"/>
    </xf>
    <xf numFmtId="0" fontId="19" fillId="4" borderId="9" xfId="0" applyFont="1" applyFill="1" applyBorder="1" applyAlignment="1" applyProtection="1">
      <alignment horizontal="center"/>
      <protection locked="0"/>
    </xf>
    <xf numFmtId="0" fontId="19" fillId="4" borderId="21" xfId="0" applyFont="1" applyFill="1" applyBorder="1" applyAlignment="1" applyProtection="1">
      <alignment horizontal="center"/>
      <protection locked="0"/>
    </xf>
    <xf numFmtId="0" fontId="21" fillId="4" borderId="0" xfId="0" applyFont="1" applyFill="1" applyAlignment="1" applyProtection="1">
      <alignment horizontal="center"/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3" fillId="8" borderId="19" xfId="0" applyFont="1" applyFill="1" applyBorder="1" applyAlignment="1" applyProtection="1">
      <alignment horizontal="center"/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23" fillId="4" borderId="11" xfId="0" applyFont="1" applyFill="1" applyBorder="1" applyAlignment="1" applyProtection="1">
      <alignment horizontal="center"/>
      <protection locked="0"/>
    </xf>
    <xf numFmtId="0" fontId="23" fillId="4" borderId="21" xfId="0" applyFont="1" applyFill="1" applyBorder="1" applyAlignment="1" applyProtection="1">
      <alignment horizontal="center"/>
      <protection locked="0"/>
    </xf>
    <xf numFmtId="0" fontId="36" fillId="4" borderId="17" xfId="0" applyFont="1" applyFill="1" applyBorder="1" applyAlignment="1">
      <alignment horizontal="center"/>
    </xf>
    <xf numFmtId="0" fontId="36" fillId="4" borderId="28" xfId="0" applyFont="1" applyFill="1" applyBorder="1" applyAlignment="1">
      <alignment horizontal="center"/>
    </xf>
    <xf numFmtId="0" fontId="36" fillId="4" borderId="18" xfId="0" applyFont="1" applyFill="1" applyBorder="1" applyAlignment="1">
      <alignment horizontal="center"/>
    </xf>
    <xf numFmtId="0" fontId="36" fillId="4" borderId="19" xfId="0" applyFont="1" applyFill="1" applyBorder="1" applyAlignment="1">
      <alignment horizontal="center"/>
    </xf>
    <xf numFmtId="0" fontId="36" fillId="4" borderId="0" xfId="0" applyFont="1" applyFill="1" applyAlignment="1">
      <alignment horizontal="center"/>
    </xf>
    <xf numFmtId="0" fontId="36" fillId="4" borderId="14" xfId="0" applyFont="1" applyFill="1" applyBorder="1" applyAlignment="1">
      <alignment horizontal="center"/>
    </xf>
    <xf numFmtId="0" fontId="36" fillId="4" borderId="40" xfId="0" applyFont="1" applyFill="1" applyBorder="1" applyAlignment="1">
      <alignment horizontal="center"/>
    </xf>
    <xf numFmtId="0" fontId="24" fillId="4" borderId="33" xfId="0" applyFont="1" applyFill="1" applyBorder="1" applyAlignment="1" applyProtection="1">
      <alignment horizontal="center"/>
      <protection locked="0"/>
    </xf>
    <xf numFmtId="0" fontId="24" fillId="4" borderId="33" xfId="0" applyFont="1" applyFill="1" applyBorder="1" applyAlignment="1">
      <alignment horizontal="center"/>
    </xf>
    <xf numFmtId="0" fontId="28" fillId="4" borderId="22" xfId="0" applyFont="1" applyFill="1" applyBorder="1" applyAlignment="1" applyProtection="1">
      <alignment horizontal="left" vertical="center"/>
      <protection locked="0"/>
    </xf>
    <xf numFmtId="0" fontId="28" fillId="4" borderId="10" xfId="0" applyFont="1" applyFill="1" applyBorder="1" applyAlignment="1" applyProtection="1">
      <alignment horizontal="left" vertical="center"/>
      <protection locked="0"/>
    </xf>
    <xf numFmtId="0" fontId="33" fillId="4" borderId="0" xfId="0" applyFont="1" applyFill="1" applyAlignment="1">
      <alignment horizontal="center" vertical="center"/>
    </xf>
    <xf numFmtId="0" fontId="29" fillId="4" borderId="0" xfId="0" applyFont="1" applyFill="1" applyAlignment="1" applyProtection="1">
      <alignment horizontal="left"/>
      <protection locked="0"/>
    </xf>
    <xf numFmtId="0" fontId="4" fillId="3" borderId="20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33" fillId="4" borderId="0" xfId="0" applyFont="1" applyFill="1" applyAlignment="1">
      <alignment horizontal="center"/>
    </xf>
    <xf numFmtId="49" fontId="18" fillId="5" borderId="33" xfId="0" applyNumberFormat="1" applyFont="1" applyFill="1" applyBorder="1" applyAlignment="1" applyProtection="1">
      <alignment horizontal="left" wrapText="1"/>
      <protection hidden="1"/>
    </xf>
    <xf numFmtId="49" fontId="18" fillId="5" borderId="27" xfId="0" applyNumberFormat="1" applyFont="1" applyFill="1" applyBorder="1" applyAlignment="1" applyProtection="1">
      <alignment horizontal="left" wrapText="1"/>
      <protection hidden="1"/>
    </xf>
    <xf numFmtId="0" fontId="16" fillId="5" borderId="19" xfId="0" applyFont="1" applyFill="1" applyBorder="1" applyAlignment="1" applyProtection="1">
      <alignment horizontal="center"/>
      <protection hidden="1"/>
    </xf>
    <xf numFmtId="0" fontId="16" fillId="5" borderId="0" xfId="0" applyFont="1" applyFill="1" applyAlignment="1" applyProtection="1">
      <alignment horizontal="center"/>
      <protection hidden="1"/>
    </xf>
    <xf numFmtId="0" fontId="16" fillId="5" borderId="14" xfId="0" applyFont="1" applyFill="1" applyBorder="1" applyAlignment="1" applyProtection="1">
      <alignment horizontal="center"/>
      <protection hidden="1"/>
    </xf>
    <xf numFmtId="0" fontId="17" fillId="5" borderId="17" xfId="0" applyFont="1" applyFill="1" applyBorder="1" applyAlignment="1" applyProtection="1">
      <alignment horizontal="center"/>
      <protection hidden="1"/>
    </xf>
    <xf numFmtId="0" fontId="15" fillId="5" borderId="28" xfId="0" applyFont="1" applyFill="1" applyBorder="1" applyAlignment="1" applyProtection="1">
      <alignment horizontal="center"/>
      <protection hidden="1"/>
    </xf>
    <xf numFmtId="0" fontId="15" fillId="5" borderId="18" xfId="0" applyFont="1" applyFill="1" applyBorder="1" applyAlignment="1" applyProtection="1">
      <alignment horizontal="center"/>
      <protection hidden="1"/>
    </xf>
    <xf numFmtId="0" fontId="31" fillId="8" borderId="17" xfId="0" applyFont="1" applyFill="1" applyBorder="1" applyAlignment="1">
      <alignment horizontal="center" vertical="center"/>
    </xf>
    <xf numFmtId="0" fontId="31" fillId="8" borderId="28" xfId="0" applyFont="1" applyFill="1" applyBorder="1" applyAlignment="1">
      <alignment horizontal="center" vertical="center"/>
    </xf>
    <xf numFmtId="0" fontId="31" fillId="8" borderId="18" xfId="0" applyFont="1" applyFill="1" applyBorder="1" applyAlignment="1">
      <alignment horizontal="center" vertical="center"/>
    </xf>
    <xf numFmtId="0" fontId="31" fillId="8" borderId="34" xfId="0" applyFont="1" applyFill="1" applyBorder="1" applyAlignment="1">
      <alignment horizontal="center" vertical="center"/>
    </xf>
    <xf numFmtId="0" fontId="31" fillId="8" borderId="33" xfId="0" applyFont="1" applyFill="1" applyBorder="1" applyAlignment="1">
      <alignment horizontal="center" vertical="center"/>
    </xf>
    <xf numFmtId="0" fontId="31" fillId="8" borderId="27" xfId="0" applyFont="1" applyFill="1" applyBorder="1" applyAlignment="1">
      <alignment horizontal="center" vertical="center"/>
    </xf>
    <xf numFmtId="0" fontId="31" fillId="8" borderId="37" xfId="1" applyFont="1" applyFill="1" applyBorder="1" applyAlignment="1" applyProtection="1">
      <alignment horizontal="center" vertical="center"/>
    </xf>
    <xf numFmtId="0" fontId="31" fillId="8" borderId="35" xfId="1" applyFont="1" applyFill="1" applyBorder="1" applyAlignment="1" applyProtection="1">
      <alignment horizontal="center" vertical="center"/>
    </xf>
    <xf numFmtId="0" fontId="31" fillId="8" borderId="36" xfId="1" applyFont="1" applyFill="1" applyBorder="1" applyAlignment="1" applyProtection="1">
      <alignment horizontal="center" vertical="center"/>
    </xf>
    <xf numFmtId="0" fontId="19" fillId="4" borderId="13" xfId="0" applyFont="1" applyFill="1" applyBorder="1" applyAlignment="1" applyProtection="1">
      <alignment horizontal="center"/>
      <protection locked="0"/>
    </xf>
    <xf numFmtId="0" fontId="19" fillId="4" borderId="16" xfId="0" applyFont="1" applyFill="1" applyBorder="1" applyAlignment="1" applyProtection="1">
      <alignment horizontal="center"/>
      <protection locked="0"/>
    </xf>
    <xf numFmtId="0" fontId="19" fillId="4" borderId="42" xfId="0" applyFont="1" applyFill="1" applyBorder="1" applyAlignment="1" applyProtection="1">
      <alignment horizontal="center"/>
      <protection locked="0"/>
    </xf>
    <xf numFmtId="0" fontId="19" fillId="4" borderId="43" xfId="0" applyFont="1" applyFill="1" applyBorder="1" applyAlignment="1" applyProtection="1">
      <alignment horizontal="center"/>
      <protection locked="0"/>
    </xf>
    <xf numFmtId="0" fontId="4" fillId="3" borderId="22" xfId="0" applyFont="1" applyFill="1" applyBorder="1" applyProtection="1">
      <protection locked="0"/>
    </xf>
    <xf numFmtId="0" fontId="4" fillId="3" borderId="10" xfId="0" applyFont="1" applyFill="1" applyBorder="1" applyProtection="1">
      <protection locked="0"/>
    </xf>
    <xf numFmtId="0" fontId="19" fillId="4" borderId="23" xfId="0" applyFont="1" applyFill="1" applyBorder="1" applyAlignment="1">
      <alignment horizontal="left" vertical="center"/>
    </xf>
    <xf numFmtId="0" fontId="19" fillId="4" borderId="31" xfId="0" applyFont="1" applyFill="1" applyBorder="1" applyAlignment="1">
      <alignment horizontal="left" vertical="center"/>
    </xf>
    <xf numFmtId="0" fontId="4" fillId="3" borderId="47" xfId="0" applyFont="1" applyFill="1" applyBorder="1" applyProtection="1">
      <protection locked="0"/>
    </xf>
    <xf numFmtId="0" fontId="4" fillId="3" borderId="48" xfId="0" applyFont="1" applyFill="1" applyBorder="1" applyProtection="1">
      <protection locked="0"/>
    </xf>
    <xf numFmtId="0" fontId="12" fillId="4" borderId="12" xfId="0" applyFont="1" applyFill="1" applyBorder="1" applyAlignment="1">
      <alignment horizontal="center"/>
    </xf>
    <xf numFmtId="0" fontId="30" fillId="8" borderId="17" xfId="0" applyFont="1" applyFill="1" applyBorder="1" applyAlignment="1" applyProtection="1">
      <alignment horizontal="center" vertical="center"/>
      <protection hidden="1"/>
    </xf>
    <xf numFmtId="0" fontId="30" fillId="8" borderId="18" xfId="0" applyFont="1" applyFill="1" applyBorder="1" applyAlignment="1" applyProtection="1">
      <alignment horizontal="center" vertical="center"/>
      <protection hidden="1"/>
    </xf>
    <xf numFmtId="0" fontId="30" fillId="8" borderId="34" xfId="0" applyFont="1" applyFill="1" applyBorder="1" applyAlignment="1" applyProtection="1">
      <alignment horizontal="center" vertical="center"/>
      <protection hidden="1"/>
    </xf>
    <xf numFmtId="0" fontId="30" fillId="8" borderId="27" xfId="0" applyFont="1" applyFill="1" applyBorder="1" applyAlignment="1" applyProtection="1">
      <alignment horizontal="center" vertical="center"/>
      <protection hidden="1"/>
    </xf>
    <xf numFmtId="2" fontId="7" fillId="8" borderId="37" xfId="1" applyNumberFormat="1" applyFont="1" applyFill="1" applyBorder="1" applyAlignment="1" applyProtection="1">
      <alignment horizontal="center" vertical="center"/>
      <protection hidden="1"/>
    </xf>
    <xf numFmtId="2" fontId="7" fillId="8" borderId="36" xfId="1" applyNumberFormat="1" applyFont="1" applyFill="1" applyBorder="1" applyAlignment="1" applyProtection="1">
      <alignment horizontal="center" vertical="center"/>
      <protection hidden="1"/>
    </xf>
    <xf numFmtId="0" fontId="16" fillId="7" borderId="19" xfId="0" applyFont="1" applyFill="1" applyBorder="1" applyAlignment="1" applyProtection="1">
      <alignment horizontal="center"/>
      <protection hidden="1"/>
    </xf>
    <xf numFmtId="0" fontId="16" fillId="7" borderId="0" xfId="0" applyFont="1" applyFill="1" applyAlignment="1" applyProtection="1">
      <alignment horizontal="center"/>
      <protection hidden="1"/>
    </xf>
    <xf numFmtId="0" fontId="16" fillId="7" borderId="14" xfId="0" applyFont="1" applyFill="1" applyBorder="1" applyAlignment="1" applyProtection="1">
      <alignment horizontal="center"/>
      <protection hidden="1"/>
    </xf>
    <xf numFmtId="49" fontId="18" fillId="7" borderId="33" xfId="0" applyNumberFormat="1" applyFont="1" applyFill="1" applyBorder="1" applyAlignment="1" applyProtection="1">
      <alignment horizontal="center" wrapText="1"/>
      <protection hidden="1"/>
    </xf>
    <xf numFmtId="49" fontId="18" fillId="7" borderId="27" xfId="0" applyNumberFormat="1" applyFont="1" applyFill="1" applyBorder="1" applyAlignment="1" applyProtection="1">
      <alignment horizontal="center" wrapText="1"/>
      <protection hidden="1"/>
    </xf>
    <xf numFmtId="0" fontId="17" fillId="7" borderId="17" xfId="0" applyFont="1" applyFill="1" applyBorder="1" applyAlignment="1" applyProtection="1">
      <alignment horizontal="center"/>
      <protection hidden="1"/>
    </xf>
    <xf numFmtId="0" fontId="17" fillId="7" borderId="28" xfId="0" applyFont="1" applyFill="1" applyBorder="1" applyAlignment="1" applyProtection="1">
      <alignment horizontal="center"/>
      <protection hidden="1"/>
    </xf>
    <xf numFmtId="0" fontId="17" fillId="7" borderId="18" xfId="0" applyFont="1" applyFill="1" applyBorder="1" applyAlignment="1" applyProtection="1">
      <alignment horizontal="center"/>
      <protection hidden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BFCD03"/>
      <color rgb="FF996633"/>
      <color rgb="FF9C4A4C"/>
      <color rgb="FFEA2D00"/>
      <color rgb="FFCC3300"/>
      <color rgb="FFCC0000"/>
      <color rgb="FF87871D"/>
      <color rgb="FF117D09"/>
      <color rgb="FFAEADB3"/>
      <color rgb="FFE0C9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3305174</xdr:colOff>
      <xdr:row>0</xdr:row>
      <xdr:rowOff>28575</xdr:rowOff>
    </xdr:from>
    <xdr:to>
      <xdr:col>2</xdr:col>
      <xdr:colOff>4105275</xdr:colOff>
      <xdr:row>4</xdr:row>
      <xdr:rowOff>158875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4" y="28575"/>
          <a:ext cx="800101" cy="9018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819150</xdr:colOff>
          <xdr:row>216</xdr:row>
          <xdr:rowOff>152400</xdr:rowOff>
        </xdr:from>
        <xdr:to>
          <xdr:col>4</xdr:col>
          <xdr:colOff>504825</xdr:colOff>
          <xdr:row>219</xdr:row>
          <xdr:rowOff>9525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57</xdr:row>
          <xdr:rowOff>95250</xdr:rowOff>
        </xdr:from>
        <xdr:to>
          <xdr:col>9</xdr:col>
          <xdr:colOff>533400</xdr:colOff>
          <xdr:row>58</xdr:row>
          <xdr:rowOff>295275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167</xdr:row>
          <xdr:rowOff>104775</xdr:rowOff>
        </xdr:from>
        <xdr:to>
          <xdr:col>9</xdr:col>
          <xdr:colOff>523875</xdr:colOff>
          <xdr:row>168</xdr:row>
          <xdr:rowOff>295275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Elemental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629DD1"/>
      </a:accent1>
      <a:accent2>
        <a:srgbClr val="297FD5"/>
      </a:accent2>
      <a:accent3>
        <a:srgbClr val="7F8FA9"/>
      </a:accent3>
      <a:accent4>
        <a:srgbClr val="4A66AC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Me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20"/>
  <sheetViews>
    <sheetView tabSelected="1" topLeftCell="A91" zoomScaleNormal="100" zoomScaleSheetLayoutView="75" workbookViewId="0">
      <selection activeCell="C12" sqref="C12"/>
    </sheetView>
  </sheetViews>
  <sheetFormatPr defaultRowHeight="15" x14ac:dyDescent="0.25"/>
  <cols>
    <col min="1" max="1" width="5.125" customWidth="1"/>
    <col min="2" max="2" width="16.625" customWidth="1"/>
    <col min="3" max="3" width="54.375" customWidth="1"/>
    <col min="4" max="4" width="10.875" customWidth="1"/>
    <col min="6" max="6" width="10.625" customWidth="1"/>
    <col min="7" max="7" width="11.75" customWidth="1"/>
    <col min="8" max="8" width="14.5" customWidth="1"/>
    <col min="9" max="9" width="10.375" customWidth="1"/>
  </cols>
  <sheetData>
    <row r="1" spans="1:9" ht="15.75" thickTop="1" x14ac:dyDescent="0.25">
      <c r="A1" s="208"/>
      <c r="B1" s="209"/>
      <c r="C1" s="209"/>
      <c r="D1" s="209"/>
      <c r="E1" s="209"/>
      <c r="F1" s="209"/>
      <c r="G1" s="209"/>
      <c r="H1" s="209"/>
      <c r="I1" s="210"/>
    </row>
    <row r="2" spans="1:9" x14ac:dyDescent="0.25">
      <c r="A2" s="211"/>
      <c r="B2" s="212"/>
      <c r="C2" s="212"/>
      <c r="D2" s="212"/>
      <c r="E2" s="212"/>
      <c r="F2" s="212"/>
      <c r="G2" s="212"/>
      <c r="H2" s="212"/>
      <c r="I2" s="213"/>
    </row>
    <row r="3" spans="1:9" x14ac:dyDescent="0.25">
      <c r="A3" s="211"/>
      <c r="B3" s="212"/>
      <c r="C3" s="212"/>
      <c r="D3" s="212"/>
      <c r="E3" s="212"/>
      <c r="F3" s="212"/>
      <c r="G3" s="212"/>
      <c r="H3" s="212"/>
      <c r="I3" s="213"/>
    </row>
    <row r="4" spans="1:9" x14ac:dyDescent="0.25">
      <c r="A4" s="211"/>
      <c r="B4" s="212"/>
      <c r="C4" s="212"/>
      <c r="D4" s="212"/>
      <c r="E4" s="212"/>
      <c r="F4" s="212"/>
      <c r="G4" s="212"/>
      <c r="H4" s="212"/>
      <c r="I4" s="213"/>
    </row>
    <row r="5" spans="1:9" x14ac:dyDescent="0.25">
      <c r="A5" s="211"/>
      <c r="B5" s="212"/>
      <c r="C5" s="214"/>
      <c r="D5" s="214"/>
      <c r="E5" s="214"/>
      <c r="F5" s="214"/>
      <c r="G5" s="214"/>
      <c r="H5" s="212"/>
      <c r="I5" s="213"/>
    </row>
    <row r="6" spans="1:9" ht="24" customHeight="1" x14ac:dyDescent="0.3">
      <c r="A6" s="107"/>
      <c r="B6" s="61"/>
      <c r="C6" s="223" t="s">
        <v>83</v>
      </c>
      <c r="D6" s="223"/>
      <c r="E6" s="223"/>
      <c r="F6" s="223"/>
      <c r="G6" s="223"/>
      <c r="H6" s="61"/>
      <c r="I6" s="57"/>
    </row>
    <row r="7" spans="1:9" ht="21.75" customHeight="1" x14ac:dyDescent="0.3">
      <c r="A7" s="108"/>
      <c r="B7" s="28"/>
      <c r="C7" s="219" t="s">
        <v>103</v>
      </c>
      <c r="D7" s="219"/>
      <c r="E7" s="219"/>
      <c r="F7" s="219"/>
      <c r="G7" s="219"/>
      <c r="H7" s="56"/>
      <c r="I7" s="57"/>
    </row>
    <row r="8" spans="1:9" ht="19.5" customHeight="1" x14ac:dyDescent="0.3">
      <c r="A8" s="108"/>
      <c r="B8" s="28"/>
      <c r="C8" s="219" t="s">
        <v>84</v>
      </c>
      <c r="D8" s="219"/>
      <c r="E8" s="219"/>
      <c r="F8" s="219"/>
      <c r="G8" s="219"/>
      <c r="H8" s="56"/>
      <c r="I8" s="57"/>
    </row>
    <row r="9" spans="1:9" ht="15.75" customHeight="1" x14ac:dyDescent="0.3">
      <c r="A9" s="108"/>
      <c r="B9" s="28"/>
      <c r="C9" s="59"/>
      <c r="D9" s="59"/>
      <c r="E9" s="56"/>
      <c r="F9" s="56"/>
      <c r="G9" s="56"/>
      <c r="H9" s="56"/>
      <c r="I9" s="57"/>
    </row>
    <row r="10" spans="1:9" ht="18.75" customHeight="1" x14ac:dyDescent="0.3">
      <c r="A10" s="108"/>
      <c r="C10" s="32"/>
      <c r="D10" s="27"/>
      <c r="E10" s="27"/>
      <c r="F10" s="27"/>
      <c r="G10" s="27"/>
      <c r="H10" s="27"/>
      <c r="I10" s="54"/>
    </row>
    <row r="11" spans="1:9" ht="24" customHeight="1" thickBot="1" x14ac:dyDescent="0.35">
      <c r="A11" s="109"/>
      <c r="B11" s="34"/>
      <c r="C11" s="60" t="s">
        <v>85</v>
      </c>
      <c r="D11" s="27"/>
      <c r="E11" s="55"/>
      <c r="F11" s="220" t="s">
        <v>53</v>
      </c>
      <c r="G11" s="220"/>
      <c r="H11" s="220"/>
      <c r="I11" s="58"/>
    </row>
    <row r="12" spans="1:9" ht="21.75" customHeight="1" thickBot="1" x14ac:dyDescent="0.3">
      <c r="A12" s="247" t="s">
        <v>86</v>
      </c>
      <c r="B12" s="248"/>
      <c r="C12" s="106" t="s">
        <v>202</v>
      </c>
      <c r="D12" s="45"/>
      <c r="E12" s="46"/>
      <c r="F12" s="200" t="s">
        <v>93</v>
      </c>
      <c r="G12" s="201"/>
      <c r="H12" s="166"/>
      <c r="I12" s="167"/>
    </row>
    <row r="13" spans="1:9" ht="18.75" customHeight="1" thickBot="1" x14ac:dyDescent="0.3">
      <c r="A13" s="217" t="s">
        <v>87</v>
      </c>
      <c r="B13" s="218"/>
      <c r="C13" s="106"/>
      <c r="D13" s="45"/>
      <c r="E13" s="27"/>
      <c r="F13" s="200" t="s">
        <v>92</v>
      </c>
      <c r="G13" s="201"/>
      <c r="H13" s="166"/>
      <c r="I13" s="167"/>
    </row>
    <row r="14" spans="1:9" ht="20.25" customHeight="1" thickBot="1" x14ac:dyDescent="0.3">
      <c r="A14" s="217" t="s">
        <v>88</v>
      </c>
      <c r="B14" s="218"/>
      <c r="C14" s="105" t="s">
        <v>200</v>
      </c>
      <c r="D14" s="1"/>
      <c r="E14" s="27"/>
      <c r="F14" s="200" t="s">
        <v>91</v>
      </c>
      <c r="G14" s="201"/>
      <c r="H14" s="168"/>
      <c r="I14" s="167"/>
    </row>
    <row r="15" spans="1:9" ht="19.5" customHeight="1" thickBot="1" x14ac:dyDescent="0.3">
      <c r="A15" s="217" t="s">
        <v>89</v>
      </c>
      <c r="B15" s="218"/>
      <c r="C15" s="105" t="s">
        <v>201</v>
      </c>
      <c r="D15" s="1"/>
      <c r="E15" s="31"/>
      <c r="F15" s="31"/>
      <c r="G15" s="31"/>
      <c r="H15" s="7"/>
      <c r="I15" s="11"/>
    </row>
    <row r="16" spans="1:9" ht="18" customHeight="1" thickBot="1" x14ac:dyDescent="0.3">
      <c r="A16" s="217" t="s">
        <v>90</v>
      </c>
      <c r="B16" s="218"/>
      <c r="C16" s="106"/>
      <c r="D16" s="1"/>
      <c r="E16" s="31"/>
      <c r="F16" s="31"/>
      <c r="G16" s="31"/>
      <c r="H16" s="2"/>
      <c r="I16" s="12"/>
    </row>
    <row r="17" spans="1:10" ht="16.5" thickBot="1" x14ac:dyDescent="0.3">
      <c r="A17" s="17"/>
      <c r="B17" s="3"/>
      <c r="C17" s="1"/>
      <c r="D17" s="1"/>
      <c r="E17" s="30"/>
      <c r="F17" s="30"/>
      <c r="G17" s="30"/>
      <c r="H17" s="3"/>
      <c r="I17" s="13"/>
    </row>
    <row r="18" spans="1:10" ht="35.1" customHeight="1" thickBot="1" x14ac:dyDescent="0.3">
      <c r="A18" s="249" t="s">
        <v>54</v>
      </c>
      <c r="B18" s="250"/>
      <c r="C18" s="4"/>
      <c r="D18" s="8"/>
      <c r="E18" s="8"/>
      <c r="F18" s="8"/>
      <c r="G18" s="8"/>
      <c r="H18" s="8"/>
      <c r="I18" s="18"/>
      <c r="J18" s="25"/>
    </row>
    <row r="19" spans="1:10" ht="35.1" customHeight="1" thickBot="1" x14ac:dyDescent="0.3">
      <c r="A19" s="110" t="s">
        <v>6</v>
      </c>
      <c r="B19" s="63" t="s">
        <v>0</v>
      </c>
      <c r="C19" s="64" t="s">
        <v>1</v>
      </c>
      <c r="D19" s="65" t="s">
        <v>2</v>
      </c>
      <c r="E19" s="62" t="s">
        <v>3</v>
      </c>
      <c r="F19" s="66" t="s">
        <v>4</v>
      </c>
      <c r="G19" s="67" t="s">
        <v>5</v>
      </c>
      <c r="H19" s="194" t="s">
        <v>46</v>
      </c>
      <c r="I19" s="195"/>
    </row>
    <row r="20" spans="1:10" ht="24.95" customHeight="1" thickBot="1" x14ac:dyDescent="0.3">
      <c r="A20" s="111">
        <v>1</v>
      </c>
      <c r="B20" s="101" t="s">
        <v>7</v>
      </c>
      <c r="C20" s="102" t="s">
        <v>8</v>
      </c>
      <c r="D20" s="68">
        <v>1</v>
      </c>
      <c r="E20" s="68"/>
      <c r="F20" s="69" t="str">
        <f>IF(E20="A","5",IF(E20="B","4",IF(E20="C","3",IF(E20="D","2",IF(E20="E","1",IF(E20="F","0","0"))))))</f>
        <v>0</v>
      </c>
      <c r="G20" s="70">
        <f>SUM(D20*F20)</f>
        <v>0</v>
      </c>
      <c r="H20" s="202" t="s">
        <v>47</v>
      </c>
      <c r="I20" s="193"/>
    </row>
    <row r="21" spans="1:10" ht="24.95" customHeight="1" thickBot="1" x14ac:dyDescent="0.3">
      <c r="A21" s="111">
        <v>2</v>
      </c>
      <c r="B21" s="101" t="s">
        <v>9</v>
      </c>
      <c r="C21" s="102" t="s">
        <v>10</v>
      </c>
      <c r="D21" s="68">
        <v>2</v>
      </c>
      <c r="E21" s="68"/>
      <c r="F21" s="69" t="str">
        <f t="shared" ref="F21:F26" si="0">IF(E21="A","5",IF(E21="B","4",IF(E21="C","3",IF(E21="D","2",IF(E21="E","1",IF(E21="F","0","0"))))))</f>
        <v>0</v>
      </c>
      <c r="G21" s="70">
        <f t="shared" ref="G21:G26" si="1">SUM(D21*F21)</f>
        <v>0</v>
      </c>
      <c r="H21" s="203" t="s">
        <v>48</v>
      </c>
      <c r="I21" s="189"/>
    </row>
    <row r="22" spans="1:10" ht="24.95" customHeight="1" thickBot="1" x14ac:dyDescent="0.3">
      <c r="A22" s="111">
        <v>3</v>
      </c>
      <c r="B22" s="72" t="s">
        <v>104</v>
      </c>
      <c r="C22" s="73" t="s">
        <v>106</v>
      </c>
      <c r="D22" s="74">
        <v>3</v>
      </c>
      <c r="E22" s="68"/>
      <c r="F22" s="69" t="str">
        <f t="shared" si="0"/>
        <v>0</v>
      </c>
      <c r="G22" s="70">
        <f t="shared" si="1"/>
        <v>0</v>
      </c>
      <c r="H22" s="188" t="s">
        <v>49</v>
      </c>
      <c r="I22" s="189"/>
    </row>
    <row r="23" spans="1:10" ht="24.95" customHeight="1" thickBot="1" x14ac:dyDescent="0.3">
      <c r="A23" s="111">
        <v>4</v>
      </c>
      <c r="B23" s="101" t="s">
        <v>16</v>
      </c>
      <c r="C23" s="102" t="s">
        <v>107</v>
      </c>
      <c r="D23" s="68">
        <v>3</v>
      </c>
      <c r="E23" s="68"/>
      <c r="F23" s="69" t="str">
        <f t="shared" si="0"/>
        <v>0</v>
      </c>
      <c r="G23" s="70">
        <f t="shared" si="1"/>
        <v>0</v>
      </c>
      <c r="H23" s="188" t="s">
        <v>52</v>
      </c>
      <c r="I23" s="189"/>
    </row>
    <row r="24" spans="1:10" ht="24.95" customHeight="1" thickBot="1" x14ac:dyDescent="0.3">
      <c r="A24" s="111">
        <v>5</v>
      </c>
      <c r="B24" s="101" t="s">
        <v>17</v>
      </c>
      <c r="C24" s="102" t="s">
        <v>18</v>
      </c>
      <c r="D24" s="68">
        <v>3</v>
      </c>
      <c r="E24" s="68"/>
      <c r="F24" s="69" t="str">
        <f t="shared" si="0"/>
        <v>0</v>
      </c>
      <c r="G24" s="70">
        <f t="shared" si="1"/>
        <v>0</v>
      </c>
      <c r="H24" s="188" t="s">
        <v>51</v>
      </c>
      <c r="I24" s="189"/>
    </row>
    <row r="25" spans="1:10" ht="24.95" customHeight="1" thickBot="1" x14ac:dyDescent="0.3">
      <c r="A25" s="111">
        <v>6</v>
      </c>
      <c r="B25" s="101" t="s">
        <v>19</v>
      </c>
      <c r="C25" s="102" t="s">
        <v>108</v>
      </c>
      <c r="D25" s="68">
        <v>1</v>
      </c>
      <c r="E25" s="68"/>
      <c r="F25" s="69" t="str">
        <f t="shared" si="0"/>
        <v>0</v>
      </c>
      <c r="G25" s="70">
        <f t="shared" si="1"/>
        <v>0</v>
      </c>
      <c r="H25" s="190" t="s">
        <v>50</v>
      </c>
      <c r="I25" s="191"/>
    </row>
    <row r="26" spans="1:10" ht="24.95" customHeight="1" thickBot="1" x14ac:dyDescent="0.3">
      <c r="A26" s="111">
        <v>7</v>
      </c>
      <c r="B26" s="101" t="s">
        <v>105</v>
      </c>
      <c r="C26" s="102" t="s">
        <v>109</v>
      </c>
      <c r="D26" s="68">
        <v>3</v>
      </c>
      <c r="E26" s="74"/>
      <c r="F26" s="69" t="str">
        <f t="shared" si="0"/>
        <v>0</v>
      </c>
      <c r="G26" s="70">
        <f t="shared" si="1"/>
        <v>0</v>
      </c>
      <c r="H26" s="14"/>
      <c r="I26" s="15"/>
    </row>
    <row r="27" spans="1:10" ht="35.1" customHeight="1" thickBot="1" x14ac:dyDescent="0.45">
      <c r="A27" s="118"/>
      <c r="B27" s="9"/>
      <c r="C27" s="75" t="s">
        <v>20</v>
      </c>
      <c r="D27" s="76">
        <f>SUM(D20:D26)</f>
        <v>16</v>
      </c>
      <c r="E27" s="77"/>
      <c r="F27" s="77"/>
      <c r="G27" s="78">
        <f>SUM(G20:G26)</f>
        <v>0</v>
      </c>
      <c r="H27" s="79" t="s">
        <v>33</v>
      </c>
      <c r="I27" s="80">
        <f>SUM(G27/D27)</f>
        <v>0</v>
      </c>
    </row>
    <row r="28" spans="1:10" ht="35.1" customHeight="1" thickBot="1" x14ac:dyDescent="0.3">
      <c r="A28" s="221" t="s">
        <v>55</v>
      </c>
      <c r="B28" s="222"/>
      <c r="C28" s="4"/>
      <c r="D28" s="8"/>
      <c r="E28" s="8"/>
      <c r="F28" s="8"/>
      <c r="G28" s="8"/>
      <c r="H28" s="16"/>
      <c r="I28" s="12"/>
    </row>
    <row r="29" spans="1:10" ht="35.1" customHeight="1" thickBot="1" x14ac:dyDescent="0.3">
      <c r="A29" s="110" t="s">
        <v>6</v>
      </c>
      <c r="B29" s="62" t="s">
        <v>0</v>
      </c>
      <c r="C29" s="81" t="s">
        <v>1</v>
      </c>
      <c r="D29" s="82" t="s">
        <v>2</v>
      </c>
      <c r="E29" s="81" t="s">
        <v>3</v>
      </c>
      <c r="F29" s="82" t="s">
        <v>4</v>
      </c>
      <c r="G29" s="67" t="s">
        <v>5</v>
      </c>
      <c r="H29" s="194" t="s">
        <v>46</v>
      </c>
      <c r="I29" s="195"/>
    </row>
    <row r="30" spans="1:10" ht="24.95" customHeight="1" thickBot="1" x14ac:dyDescent="0.3">
      <c r="A30" s="111">
        <v>1</v>
      </c>
      <c r="B30" s="101" t="s">
        <v>21</v>
      </c>
      <c r="C30" s="102" t="s">
        <v>110</v>
      </c>
      <c r="D30" s="68">
        <v>1</v>
      </c>
      <c r="E30" s="68"/>
      <c r="F30" s="69" t="str">
        <f>IF(E30="A","5",IF(E30="B","4",IF(E30="C","3",IF(E30="D","2",IF(E30="E","1",IF(E30="F","0","0"))))))</f>
        <v>0</v>
      </c>
      <c r="G30" s="70">
        <f>SUM(D30*F30)</f>
        <v>0</v>
      </c>
      <c r="H30" s="203" t="s">
        <v>47</v>
      </c>
      <c r="I30" s="189"/>
    </row>
    <row r="31" spans="1:10" ht="24.95" customHeight="1" thickBot="1" x14ac:dyDescent="0.3">
      <c r="A31" s="111">
        <v>2</v>
      </c>
      <c r="B31" s="101" t="s">
        <v>111</v>
      </c>
      <c r="C31" s="102" t="s">
        <v>112</v>
      </c>
      <c r="D31" s="68">
        <v>3</v>
      </c>
      <c r="E31" s="68"/>
      <c r="F31" s="69" t="str">
        <f t="shared" ref="F31:F36" si="2">IF(E31="A","5",IF(E31="B","4",IF(E31="C","3",IF(E31="D","2",IF(E31="E","1",IF(E31="F","0","0"))))))</f>
        <v>0</v>
      </c>
      <c r="G31" s="70">
        <f t="shared" ref="G31:G36" si="3">SUM(D31*F31)</f>
        <v>0</v>
      </c>
      <c r="H31" s="203" t="s">
        <v>48</v>
      </c>
      <c r="I31" s="189"/>
    </row>
    <row r="32" spans="1:10" ht="24.95" customHeight="1" thickBot="1" x14ac:dyDescent="0.3">
      <c r="A32" s="111">
        <v>3</v>
      </c>
      <c r="B32" s="101" t="s">
        <v>113</v>
      </c>
      <c r="C32" s="102" t="s">
        <v>114</v>
      </c>
      <c r="D32" s="68">
        <v>2</v>
      </c>
      <c r="E32" s="68"/>
      <c r="F32" s="69" t="str">
        <f t="shared" si="2"/>
        <v>0</v>
      </c>
      <c r="G32" s="70">
        <f t="shared" si="3"/>
        <v>0</v>
      </c>
      <c r="H32" s="188" t="s">
        <v>49</v>
      </c>
      <c r="I32" s="189"/>
    </row>
    <row r="33" spans="1:10" ht="24.95" customHeight="1" thickBot="1" x14ac:dyDescent="0.3">
      <c r="A33" s="111">
        <v>4</v>
      </c>
      <c r="B33" s="101" t="s">
        <v>22</v>
      </c>
      <c r="C33" s="102" t="s">
        <v>23</v>
      </c>
      <c r="D33" s="68">
        <v>3</v>
      </c>
      <c r="E33" s="68"/>
      <c r="F33" s="69" t="str">
        <f t="shared" si="2"/>
        <v>0</v>
      </c>
      <c r="G33" s="70">
        <f t="shared" si="3"/>
        <v>0</v>
      </c>
      <c r="H33" s="188" t="s">
        <v>52</v>
      </c>
      <c r="I33" s="189"/>
    </row>
    <row r="34" spans="1:10" ht="24.95" customHeight="1" thickBot="1" x14ac:dyDescent="0.3">
      <c r="A34" s="111">
        <v>5</v>
      </c>
      <c r="B34" s="101" t="s">
        <v>115</v>
      </c>
      <c r="C34" s="102" t="s">
        <v>116</v>
      </c>
      <c r="D34" s="68">
        <v>3</v>
      </c>
      <c r="E34" s="68"/>
      <c r="F34" s="69" t="str">
        <f t="shared" si="2"/>
        <v>0</v>
      </c>
      <c r="G34" s="70">
        <f t="shared" si="3"/>
        <v>0</v>
      </c>
      <c r="H34" s="188" t="s">
        <v>51</v>
      </c>
      <c r="I34" s="189"/>
    </row>
    <row r="35" spans="1:10" ht="24.95" customHeight="1" thickBot="1" x14ac:dyDescent="0.3">
      <c r="A35" s="111">
        <v>6</v>
      </c>
      <c r="B35" s="101" t="s">
        <v>24</v>
      </c>
      <c r="C35" s="102" t="s">
        <v>25</v>
      </c>
      <c r="D35" s="68">
        <v>3</v>
      </c>
      <c r="E35" s="68"/>
      <c r="F35" s="69" t="str">
        <f t="shared" si="2"/>
        <v>0</v>
      </c>
      <c r="G35" s="70">
        <f t="shared" si="3"/>
        <v>0</v>
      </c>
      <c r="H35" s="190" t="s">
        <v>50</v>
      </c>
      <c r="I35" s="191"/>
    </row>
    <row r="36" spans="1:10" ht="24.95" customHeight="1" thickBot="1" x14ac:dyDescent="0.3">
      <c r="A36" s="111">
        <v>7</v>
      </c>
      <c r="B36" s="101" t="s">
        <v>117</v>
      </c>
      <c r="C36" s="102" t="s">
        <v>118</v>
      </c>
      <c r="D36" s="68">
        <v>3</v>
      </c>
      <c r="E36" s="68"/>
      <c r="F36" s="69" t="str">
        <f t="shared" si="2"/>
        <v>0</v>
      </c>
      <c r="G36" s="70">
        <f t="shared" si="3"/>
        <v>0</v>
      </c>
      <c r="H36" s="19"/>
      <c r="I36" s="11"/>
    </row>
    <row r="37" spans="1:10" ht="35.1" customHeight="1" thickBot="1" x14ac:dyDescent="0.45">
      <c r="A37" s="119"/>
      <c r="B37" s="96"/>
      <c r="C37" s="95" t="s">
        <v>20</v>
      </c>
      <c r="D37" s="120">
        <f>SUM(D30:D36)</f>
        <v>18</v>
      </c>
      <c r="E37" s="96"/>
      <c r="F37" s="96"/>
      <c r="G37" s="97">
        <f>SUM(G30:G36)</f>
        <v>0</v>
      </c>
      <c r="H37" s="87" t="s">
        <v>33</v>
      </c>
      <c r="I37" s="88">
        <f>SUM(G37/D37)</f>
        <v>0</v>
      </c>
    </row>
    <row r="38" spans="1:10" ht="24.95" customHeight="1" thickTop="1" thickBot="1" x14ac:dyDescent="0.3">
      <c r="A38" s="126"/>
      <c r="B38" s="29"/>
      <c r="C38" s="2"/>
      <c r="D38" s="2"/>
      <c r="E38" s="2"/>
      <c r="F38" s="2"/>
      <c r="G38" s="2"/>
      <c r="H38" s="121" t="s">
        <v>39</v>
      </c>
      <c r="I38" s="134">
        <f>(G27+G37)/(D27+D37)</f>
        <v>0</v>
      </c>
    </row>
    <row r="39" spans="1:10" ht="24.95" customHeight="1" thickTop="1" x14ac:dyDescent="0.25">
      <c r="A39" s="116"/>
      <c r="B39" s="29"/>
      <c r="C39" s="2"/>
      <c r="D39" s="2"/>
      <c r="E39" s="184" t="s">
        <v>94</v>
      </c>
      <c r="F39" s="185"/>
      <c r="G39" s="169"/>
      <c r="H39" s="170"/>
      <c r="I39" s="171"/>
    </row>
    <row r="40" spans="1:10" ht="24.95" customHeight="1" thickBot="1" x14ac:dyDescent="0.3">
      <c r="A40" s="116"/>
      <c r="B40" s="29"/>
      <c r="C40" s="2"/>
      <c r="D40" s="2"/>
      <c r="E40" s="186"/>
      <c r="F40" s="187"/>
      <c r="G40" s="172"/>
      <c r="H40" s="173"/>
      <c r="I40" s="174"/>
    </row>
    <row r="41" spans="1:10" ht="24.95" customHeight="1" thickTop="1" x14ac:dyDescent="0.25">
      <c r="A41" s="116"/>
      <c r="B41" s="29"/>
      <c r="C41" s="2"/>
      <c r="D41" s="2"/>
      <c r="E41" s="184" t="s">
        <v>95</v>
      </c>
      <c r="F41" s="185"/>
      <c r="G41" s="204"/>
      <c r="H41" s="205"/>
      <c r="I41" s="205"/>
      <c r="J41" s="25"/>
    </row>
    <row r="42" spans="1:10" ht="24.95" customHeight="1" thickBot="1" x14ac:dyDescent="0.3">
      <c r="A42" s="136"/>
      <c r="B42" s="29"/>
      <c r="C42" s="124"/>
      <c r="D42" s="2"/>
      <c r="E42" s="186"/>
      <c r="F42" s="187"/>
      <c r="G42" s="178"/>
      <c r="H42" s="179"/>
      <c r="I42" s="179"/>
      <c r="J42" s="25"/>
    </row>
    <row r="43" spans="1:10" ht="24.95" customHeight="1" thickTop="1" x14ac:dyDescent="0.25">
      <c r="A43" s="29"/>
      <c r="B43" s="135"/>
      <c r="C43" s="2"/>
      <c r="D43" s="36"/>
      <c r="E43" s="2"/>
      <c r="F43" s="2"/>
      <c r="G43" s="2"/>
      <c r="H43" s="142"/>
      <c r="I43" s="142"/>
    </row>
    <row r="44" spans="1:10" ht="24.95" customHeight="1" thickBot="1" x14ac:dyDescent="0.3">
      <c r="A44" s="123"/>
      <c r="B44" s="123"/>
      <c r="C44" s="124"/>
      <c r="D44" s="124"/>
      <c r="E44" s="124"/>
      <c r="F44" s="124"/>
      <c r="G44" s="124"/>
      <c r="H44" s="143"/>
      <c r="I44" s="143"/>
    </row>
    <row r="45" spans="1:10" ht="35.1" customHeight="1" thickTop="1" thickBot="1" x14ac:dyDescent="0.3">
      <c r="A45" s="116"/>
      <c r="B45" s="29"/>
      <c r="C45" s="2"/>
      <c r="D45" s="2"/>
      <c r="E45" s="47"/>
      <c r="F45" s="200" t="s">
        <v>93</v>
      </c>
      <c r="G45" s="201"/>
      <c r="H45" s="166"/>
      <c r="I45" s="167"/>
    </row>
    <row r="46" spans="1:10" ht="24.95" customHeight="1" thickBot="1" x14ac:dyDescent="0.3">
      <c r="A46" s="116"/>
      <c r="B46" s="29"/>
      <c r="C46" s="2"/>
      <c r="D46" s="2"/>
      <c r="E46" s="47"/>
      <c r="F46" s="200" t="s">
        <v>92</v>
      </c>
      <c r="G46" s="201"/>
      <c r="H46" s="166"/>
      <c r="I46" s="167"/>
    </row>
    <row r="47" spans="1:10" ht="24.95" customHeight="1" thickBot="1" x14ac:dyDescent="0.3">
      <c r="A47" s="20"/>
      <c r="B47" s="3"/>
      <c r="C47" s="2"/>
      <c r="D47" s="2"/>
      <c r="E47" s="46"/>
      <c r="F47" s="200" t="s">
        <v>91</v>
      </c>
      <c r="G47" s="201"/>
      <c r="H47" s="168"/>
      <c r="I47" s="167"/>
    </row>
    <row r="48" spans="1:10" ht="35.1" customHeight="1" thickBot="1" x14ac:dyDescent="0.3">
      <c r="A48" s="245" t="s">
        <v>56</v>
      </c>
      <c r="B48" s="246"/>
      <c r="C48" s="6"/>
      <c r="D48" s="3"/>
      <c r="E48" s="3"/>
      <c r="F48" s="8"/>
      <c r="G48" s="8"/>
      <c r="H48" s="216"/>
      <c r="I48" s="216"/>
      <c r="J48" s="25"/>
    </row>
    <row r="49" spans="1:13" ht="35.1" customHeight="1" thickBot="1" x14ac:dyDescent="0.3">
      <c r="A49" s="110" t="s">
        <v>6</v>
      </c>
      <c r="B49" s="62" t="s">
        <v>0</v>
      </c>
      <c r="C49" s="81" t="s">
        <v>1</v>
      </c>
      <c r="D49" s="82" t="s">
        <v>2</v>
      </c>
      <c r="E49" s="81" t="s">
        <v>3</v>
      </c>
      <c r="F49" s="82" t="s">
        <v>4</v>
      </c>
      <c r="G49" s="67" t="s">
        <v>5</v>
      </c>
      <c r="H49" s="194" t="s">
        <v>46</v>
      </c>
      <c r="I49" s="195"/>
    </row>
    <row r="50" spans="1:13" ht="24.95" customHeight="1" thickBot="1" x14ac:dyDescent="0.3">
      <c r="A50" s="111">
        <v>1</v>
      </c>
      <c r="B50" s="101" t="s">
        <v>11</v>
      </c>
      <c r="C50" s="103" t="s">
        <v>12</v>
      </c>
      <c r="D50" s="68">
        <v>2</v>
      </c>
      <c r="E50" s="68"/>
      <c r="F50" s="69" t="str">
        <f>IF(E50="A","5",IF(E50="B","4",IF(E50="C","3",IF(E50="D","2",IF(E50="E","1",IF(E50="F","0","0"))))))</f>
        <v>0</v>
      </c>
      <c r="G50" s="70">
        <f>SUM(D50*F50)</f>
        <v>0</v>
      </c>
      <c r="H50" s="202" t="s">
        <v>47</v>
      </c>
      <c r="I50" s="193"/>
    </row>
    <row r="51" spans="1:13" ht="24.95" customHeight="1" thickBot="1" x14ac:dyDescent="0.3">
      <c r="A51" s="111">
        <v>2</v>
      </c>
      <c r="B51" s="101" t="s">
        <v>26</v>
      </c>
      <c r="C51" s="103" t="s">
        <v>30</v>
      </c>
      <c r="D51" s="68">
        <v>2</v>
      </c>
      <c r="E51" s="68"/>
      <c r="F51" s="69" t="str">
        <f t="shared" ref="F51:F59" si="4">IF(E51="A","5",IF(E51="B","4",IF(E51="C","3",IF(E51="D","2",IF(E51="E","1",IF(E51="F","0","0"))))))</f>
        <v>0</v>
      </c>
      <c r="G51" s="70">
        <f>SUM(D51*F51)</f>
        <v>0</v>
      </c>
      <c r="H51" s="203" t="s">
        <v>48</v>
      </c>
      <c r="I51" s="189"/>
    </row>
    <row r="52" spans="1:13" ht="24.95" customHeight="1" thickBot="1" x14ac:dyDescent="0.3">
      <c r="A52" s="111">
        <v>3</v>
      </c>
      <c r="B52" s="101" t="s">
        <v>119</v>
      </c>
      <c r="C52" s="103" t="s">
        <v>121</v>
      </c>
      <c r="D52" s="68">
        <v>3</v>
      </c>
      <c r="E52" s="68"/>
      <c r="F52" s="69" t="str">
        <f t="shared" si="4"/>
        <v>0</v>
      </c>
      <c r="G52" s="70">
        <f t="shared" ref="G52:G59" si="5">SUM(D52*F52)</f>
        <v>0</v>
      </c>
      <c r="H52" s="188" t="s">
        <v>49</v>
      </c>
      <c r="I52" s="189"/>
    </row>
    <row r="53" spans="1:13" ht="24.95" customHeight="1" thickBot="1" x14ac:dyDescent="0.3">
      <c r="A53" s="111">
        <v>4</v>
      </c>
      <c r="B53" s="101" t="s">
        <v>27</v>
      </c>
      <c r="C53" s="103" t="s">
        <v>31</v>
      </c>
      <c r="D53" s="68">
        <v>3</v>
      </c>
      <c r="E53" s="68"/>
      <c r="F53" s="69" t="str">
        <f t="shared" si="4"/>
        <v>0</v>
      </c>
      <c r="G53" s="70">
        <f t="shared" si="5"/>
        <v>0</v>
      </c>
      <c r="H53" s="188" t="s">
        <v>52</v>
      </c>
      <c r="I53" s="189"/>
    </row>
    <row r="54" spans="1:13" ht="24.95" customHeight="1" thickBot="1" x14ac:dyDescent="0.3">
      <c r="A54" s="111">
        <v>5</v>
      </c>
      <c r="B54" s="101" t="s">
        <v>120</v>
      </c>
      <c r="C54" s="103" t="s">
        <v>122</v>
      </c>
      <c r="D54" s="68">
        <v>3</v>
      </c>
      <c r="E54" s="68"/>
      <c r="F54" s="69" t="str">
        <f t="shared" si="4"/>
        <v>0</v>
      </c>
      <c r="G54" s="70">
        <f t="shared" si="5"/>
        <v>0</v>
      </c>
      <c r="H54" s="188" t="s">
        <v>51</v>
      </c>
      <c r="I54" s="189"/>
    </row>
    <row r="55" spans="1:13" ht="24.95" customHeight="1" thickBot="1" x14ac:dyDescent="0.3">
      <c r="A55" s="111">
        <v>6</v>
      </c>
      <c r="B55" s="101" t="s">
        <v>13</v>
      </c>
      <c r="C55" s="103" t="s">
        <v>14</v>
      </c>
      <c r="D55" s="68">
        <v>2</v>
      </c>
      <c r="E55" s="68"/>
      <c r="F55" s="69" t="str">
        <f t="shared" si="4"/>
        <v>0</v>
      </c>
      <c r="G55" s="70">
        <f t="shared" si="5"/>
        <v>0</v>
      </c>
      <c r="H55" s="190" t="s">
        <v>50</v>
      </c>
      <c r="I55" s="191"/>
    </row>
    <row r="56" spans="1:13" ht="24.95" customHeight="1" thickBot="1" x14ac:dyDescent="0.3">
      <c r="A56" s="111">
        <v>7</v>
      </c>
      <c r="B56" s="101" t="s">
        <v>80</v>
      </c>
      <c r="C56" s="103" t="s">
        <v>15</v>
      </c>
      <c r="D56" s="68">
        <v>2</v>
      </c>
      <c r="E56" s="68"/>
      <c r="F56" s="69" t="str">
        <f t="shared" si="4"/>
        <v>0</v>
      </c>
      <c r="G56" s="71">
        <f t="shared" si="5"/>
        <v>0</v>
      </c>
      <c r="H56" s="19"/>
      <c r="I56" s="11"/>
    </row>
    <row r="57" spans="1:13" ht="24.95" customHeight="1" thickTop="1" thickBot="1" x14ac:dyDescent="0.3">
      <c r="A57" s="111">
        <v>8</v>
      </c>
      <c r="B57" s="101"/>
      <c r="C57" s="103" t="s">
        <v>40</v>
      </c>
      <c r="D57" s="68"/>
      <c r="E57" s="68"/>
      <c r="F57" s="69" t="str">
        <f t="shared" si="4"/>
        <v>0</v>
      </c>
      <c r="G57" s="71">
        <f t="shared" si="5"/>
        <v>0</v>
      </c>
      <c r="H57" s="16"/>
      <c r="I57" s="12"/>
      <c r="J57" s="263" t="s">
        <v>44</v>
      </c>
      <c r="K57" s="264"/>
      <c r="L57" s="264"/>
      <c r="M57" s="265"/>
    </row>
    <row r="58" spans="1:13" ht="24.95" customHeight="1" thickBot="1" x14ac:dyDescent="0.3">
      <c r="A58" s="111">
        <v>9</v>
      </c>
      <c r="B58" s="101"/>
      <c r="C58" s="103" t="s">
        <v>41</v>
      </c>
      <c r="D58" s="68"/>
      <c r="E58" s="68"/>
      <c r="F58" s="69" t="str">
        <f t="shared" si="4"/>
        <v>0</v>
      </c>
      <c r="G58" s="71">
        <f t="shared" si="5"/>
        <v>0</v>
      </c>
      <c r="H58" s="16"/>
      <c r="I58" s="12"/>
      <c r="J58" s="258" t="s">
        <v>45</v>
      </c>
      <c r="K58" s="259"/>
      <c r="L58" s="259"/>
      <c r="M58" s="260"/>
    </row>
    <row r="59" spans="1:13" ht="24.95" customHeight="1" thickBot="1" x14ac:dyDescent="0.35">
      <c r="A59" s="111">
        <v>10</v>
      </c>
      <c r="B59" s="101"/>
      <c r="C59" s="103" t="s">
        <v>42</v>
      </c>
      <c r="D59" s="68"/>
      <c r="E59" s="68"/>
      <c r="F59" s="69" t="str">
        <f t="shared" si="4"/>
        <v>0</v>
      </c>
      <c r="G59" s="71">
        <f t="shared" si="5"/>
        <v>0</v>
      </c>
      <c r="H59" s="138"/>
      <c r="I59" s="12"/>
      <c r="J59" s="48"/>
      <c r="K59" s="261" t="s">
        <v>64</v>
      </c>
      <c r="L59" s="261"/>
      <c r="M59" s="262"/>
    </row>
    <row r="60" spans="1:13" ht="35.1" customHeight="1" thickTop="1" thickBot="1" x14ac:dyDescent="0.45">
      <c r="A60" s="117"/>
      <c r="B60" s="10"/>
      <c r="C60" s="84" t="s">
        <v>20</v>
      </c>
      <c r="D60" s="85">
        <f>SUM(D51:D59)</f>
        <v>15</v>
      </c>
      <c r="E60" s="83"/>
      <c r="F60" s="83"/>
      <c r="G60" s="86">
        <f>SUM(G51:G59)</f>
        <v>0</v>
      </c>
      <c r="H60" s="89" t="s">
        <v>33</v>
      </c>
      <c r="I60" s="146">
        <f>SUM(G60/D60)</f>
        <v>0</v>
      </c>
    </row>
    <row r="61" spans="1:13" ht="35.1" customHeight="1" thickTop="1" thickBot="1" x14ac:dyDescent="0.3">
      <c r="A61" s="221" t="s">
        <v>57</v>
      </c>
      <c r="B61" s="222"/>
      <c r="C61" s="4"/>
      <c r="D61" s="8"/>
      <c r="E61" s="8"/>
      <c r="F61" s="8"/>
      <c r="G61" s="8"/>
      <c r="H61" s="112"/>
      <c r="I61" s="147"/>
    </row>
    <row r="62" spans="1:13" ht="35.1" customHeight="1" thickBot="1" x14ac:dyDescent="0.3">
      <c r="A62" s="110" t="s">
        <v>6</v>
      </c>
      <c r="B62" s="62" t="s">
        <v>0</v>
      </c>
      <c r="C62" s="62" t="s">
        <v>1</v>
      </c>
      <c r="D62" s="65" t="s">
        <v>2</v>
      </c>
      <c r="E62" s="62" t="s">
        <v>3</v>
      </c>
      <c r="F62" s="65" t="s">
        <v>4</v>
      </c>
      <c r="G62" s="67" t="s">
        <v>5</v>
      </c>
      <c r="H62" s="194" t="s">
        <v>46</v>
      </c>
      <c r="I62" s="195"/>
    </row>
    <row r="63" spans="1:13" ht="24.95" customHeight="1" thickBot="1" x14ac:dyDescent="0.3">
      <c r="A63" s="111">
        <v>1</v>
      </c>
      <c r="B63" s="101" t="s">
        <v>81</v>
      </c>
      <c r="C63" s="103" t="s">
        <v>82</v>
      </c>
      <c r="D63" s="68">
        <v>2</v>
      </c>
      <c r="E63" s="68"/>
      <c r="F63" s="69" t="str">
        <f>IF(E63="A","5",IF(E63="B","4",IF(E63="C","3",IF(E63="D","2",IF(E63="E","1",IF(E63="F","0","0"))))))</f>
        <v>0</v>
      </c>
      <c r="G63" s="71">
        <f>SUM(D63*F63)</f>
        <v>0</v>
      </c>
      <c r="H63" s="192" t="s">
        <v>47</v>
      </c>
      <c r="I63" s="193"/>
    </row>
    <row r="64" spans="1:13" ht="24.95" customHeight="1" thickBot="1" x14ac:dyDescent="0.3">
      <c r="A64" s="111">
        <v>2</v>
      </c>
      <c r="B64" s="101" t="s">
        <v>28</v>
      </c>
      <c r="C64" s="103" t="s">
        <v>32</v>
      </c>
      <c r="D64" s="68">
        <v>3</v>
      </c>
      <c r="E64" s="68"/>
      <c r="F64" s="69" t="str">
        <f t="shared" ref="F64:F71" si="6">IF(E64="A","5",IF(E64="B","4",IF(E64="C","3",IF(E64="D","2",IF(E64="E","1",IF(E64="F","0","0"))))))</f>
        <v>0</v>
      </c>
      <c r="G64" s="70">
        <f>SUM(D64*F64)</f>
        <v>0</v>
      </c>
      <c r="H64" s="203" t="s">
        <v>48</v>
      </c>
      <c r="I64" s="189"/>
    </row>
    <row r="65" spans="1:9" ht="24.95" customHeight="1" thickBot="1" x14ac:dyDescent="0.3">
      <c r="A65" s="111">
        <v>3</v>
      </c>
      <c r="B65" s="101" t="s">
        <v>124</v>
      </c>
      <c r="C65" s="103" t="s">
        <v>125</v>
      </c>
      <c r="D65" s="68">
        <v>2</v>
      </c>
      <c r="E65" s="68"/>
      <c r="F65" s="69" t="str">
        <f>IF(E65="A","5",IF(E65="B","4",IF(E65="C","3",IF(E65="D","2",IF(E65="E","1",IF(E65="F","0","0"))))))</f>
        <v>0</v>
      </c>
      <c r="G65" s="71">
        <f>SUM(D65*F65)</f>
        <v>0</v>
      </c>
      <c r="H65" s="188" t="s">
        <v>49</v>
      </c>
      <c r="I65" s="189"/>
    </row>
    <row r="66" spans="1:9" ht="24.95" customHeight="1" thickBot="1" x14ac:dyDescent="0.3">
      <c r="A66" s="111">
        <v>4</v>
      </c>
      <c r="B66" s="101" t="s">
        <v>29</v>
      </c>
      <c r="C66" s="103" t="s">
        <v>123</v>
      </c>
      <c r="D66" s="68">
        <v>3</v>
      </c>
      <c r="E66" s="68"/>
      <c r="F66" s="69" t="str">
        <f t="shared" si="6"/>
        <v>0</v>
      </c>
      <c r="G66" s="70">
        <f t="shared" ref="G66:G68" si="7">SUM(D66*F66)</f>
        <v>0</v>
      </c>
      <c r="H66" s="188" t="s">
        <v>52</v>
      </c>
      <c r="I66" s="189"/>
    </row>
    <row r="67" spans="1:9" ht="24.95" customHeight="1" thickBot="1" x14ac:dyDescent="0.3">
      <c r="A67" s="111">
        <v>5</v>
      </c>
      <c r="B67" s="101" t="s">
        <v>126</v>
      </c>
      <c r="C67" s="103" t="s">
        <v>127</v>
      </c>
      <c r="D67" s="68">
        <v>3</v>
      </c>
      <c r="E67" s="68"/>
      <c r="F67" s="69" t="str">
        <f t="shared" si="6"/>
        <v>0</v>
      </c>
      <c r="G67" s="71">
        <f t="shared" si="7"/>
        <v>0</v>
      </c>
      <c r="H67" s="188" t="s">
        <v>51</v>
      </c>
      <c r="I67" s="189"/>
    </row>
    <row r="68" spans="1:9" ht="24.95" customHeight="1" thickBot="1" x14ac:dyDescent="0.3">
      <c r="A68" s="111">
        <v>6</v>
      </c>
      <c r="B68" s="101" t="s">
        <v>128</v>
      </c>
      <c r="C68" s="103" t="s">
        <v>129</v>
      </c>
      <c r="D68" s="68">
        <v>3</v>
      </c>
      <c r="E68" s="68"/>
      <c r="F68" s="69" t="str">
        <f t="shared" si="6"/>
        <v>0</v>
      </c>
      <c r="G68" s="71">
        <f t="shared" si="7"/>
        <v>0</v>
      </c>
      <c r="H68" s="190" t="s">
        <v>50</v>
      </c>
      <c r="I68" s="191"/>
    </row>
    <row r="69" spans="1:9" ht="24.95" customHeight="1" thickBot="1" x14ac:dyDescent="0.3">
      <c r="A69" s="111">
        <v>7</v>
      </c>
      <c r="B69" s="101"/>
      <c r="C69" s="103" t="s">
        <v>40</v>
      </c>
      <c r="D69" s="68"/>
      <c r="E69" s="68"/>
      <c r="F69" s="69" t="str">
        <f t="shared" si="6"/>
        <v>0</v>
      </c>
      <c r="G69" s="71">
        <f t="shared" ref="G69:G71" si="8">SUM(D69*F69)</f>
        <v>0</v>
      </c>
      <c r="H69" s="19"/>
      <c r="I69" s="11"/>
    </row>
    <row r="70" spans="1:9" ht="24.95" customHeight="1" thickBot="1" x14ac:dyDescent="0.3">
      <c r="A70" s="111">
        <v>8</v>
      </c>
      <c r="B70" s="101"/>
      <c r="C70" s="103" t="s">
        <v>41</v>
      </c>
      <c r="D70" s="68"/>
      <c r="E70" s="68"/>
      <c r="F70" s="69" t="str">
        <f t="shared" si="6"/>
        <v>0</v>
      </c>
      <c r="G70" s="71">
        <f t="shared" si="8"/>
        <v>0</v>
      </c>
      <c r="H70" s="16"/>
      <c r="I70" s="12"/>
    </row>
    <row r="71" spans="1:9" ht="24.95" customHeight="1" thickBot="1" x14ac:dyDescent="0.3">
      <c r="A71" s="111">
        <v>9</v>
      </c>
      <c r="B71" s="101"/>
      <c r="C71" s="103" t="s">
        <v>42</v>
      </c>
      <c r="D71" s="68"/>
      <c r="E71" s="68"/>
      <c r="F71" s="69" t="str">
        <f t="shared" si="6"/>
        <v>0</v>
      </c>
      <c r="G71" s="71">
        <f t="shared" si="8"/>
        <v>0</v>
      </c>
      <c r="H71" s="16"/>
      <c r="I71" s="12"/>
    </row>
    <row r="72" spans="1:9" ht="35.1" customHeight="1" thickBot="1" x14ac:dyDescent="0.45">
      <c r="A72" s="119"/>
      <c r="B72" s="96"/>
      <c r="C72" s="95" t="s">
        <v>20</v>
      </c>
      <c r="D72" s="120">
        <f>SUM(D64:D71)</f>
        <v>14</v>
      </c>
      <c r="E72" s="96"/>
      <c r="F72" s="96"/>
      <c r="G72" s="97">
        <f>SUM(G64:G71)</f>
        <v>0</v>
      </c>
      <c r="H72" s="87" t="s">
        <v>33</v>
      </c>
      <c r="I72" s="88">
        <f>SUM(G72/D72)</f>
        <v>0</v>
      </c>
    </row>
    <row r="73" spans="1:9" ht="35.1" customHeight="1" thickTop="1" thickBot="1" x14ac:dyDescent="0.3">
      <c r="A73" s="112"/>
      <c r="B73" s="2"/>
      <c r="C73" s="2"/>
      <c r="D73" s="2"/>
      <c r="E73" s="2"/>
      <c r="F73" s="2"/>
      <c r="G73" s="12"/>
      <c r="H73" s="121" t="s">
        <v>38</v>
      </c>
      <c r="I73" s="125">
        <f>(G60+G72)/(D60+D72)</f>
        <v>0</v>
      </c>
    </row>
    <row r="74" spans="1:9" ht="24.95" customHeight="1" thickTop="1" x14ac:dyDescent="0.25">
      <c r="A74" s="16"/>
      <c r="B74" s="2"/>
      <c r="C74" s="2"/>
      <c r="D74" s="2"/>
      <c r="E74" s="184" t="s">
        <v>94</v>
      </c>
      <c r="F74" s="185"/>
      <c r="G74" s="169"/>
      <c r="H74" s="170"/>
      <c r="I74" s="171"/>
    </row>
    <row r="75" spans="1:9" ht="24.95" customHeight="1" thickBot="1" x14ac:dyDescent="0.3">
      <c r="A75" s="16"/>
      <c r="B75" s="2"/>
      <c r="C75" s="2"/>
      <c r="D75" s="2"/>
      <c r="E75" s="186"/>
      <c r="F75" s="187"/>
      <c r="G75" s="172"/>
      <c r="H75" s="173"/>
      <c r="I75" s="174"/>
    </row>
    <row r="76" spans="1:9" ht="24.95" customHeight="1" thickTop="1" x14ac:dyDescent="0.25">
      <c r="A76" s="16"/>
      <c r="B76" s="2"/>
      <c r="C76" s="2"/>
      <c r="D76" s="2"/>
      <c r="E76" s="184" t="s">
        <v>95</v>
      </c>
      <c r="F76" s="185"/>
      <c r="G76" s="175"/>
      <c r="H76" s="176"/>
      <c r="I76" s="177"/>
    </row>
    <row r="77" spans="1:9" ht="24.95" customHeight="1" thickBot="1" x14ac:dyDescent="0.3">
      <c r="A77" s="138"/>
      <c r="B77" s="124"/>
      <c r="C77" s="124"/>
      <c r="D77" s="137"/>
      <c r="E77" s="186"/>
      <c r="F77" s="187"/>
      <c r="G77" s="178"/>
      <c r="H77" s="179"/>
      <c r="I77" s="180"/>
    </row>
    <row r="78" spans="1:9" ht="24.95" customHeight="1" thickTop="1" x14ac:dyDescent="0.25">
      <c r="A78" s="2"/>
      <c r="B78" s="2"/>
      <c r="C78" s="2"/>
      <c r="D78" s="2"/>
      <c r="E78" s="139"/>
      <c r="F78" s="140"/>
      <c r="G78" s="141"/>
      <c r="H78" s="37"/>
      <c r="I78" s="37"/>
    </row>
    <row r="79" spans="1:9" ht="24.95" customHeight="1" thickBot="1" x14ac:dyDescent="0.3">
      <c r="A79" s="124"/>
      <c r="B79" s="124"/>
      <c r="C79" s="124"/>
      <c r="D79" s="124"/>
      <c r="E79" s="124"/>
      <c r="F79" s="124"/>
      <c r="G79" s="124"/>
      <c r="H79" s="143"/>
      <c r="I79" s="143"/>
    </row>
    <row r="80" spans="1:9" ht="24.95" customHeight="1" thickTop="1" thickBot="1" x14ac:dyDescent="0.3">
      <c r="A80" s="16"/>
      <c r="B80" s="2"/>
      <c r="C80" s="2"/>
      <c r="D80" s="2"/>
      <c r="E80" s="47"/>
      <c r="F80" s="200" t="s">
        <v>93</v>
      </c>
      <c r="G80" s="201"/>
      <c r="H80" s="181"/>
      <c r="I80" s="182"/>
    </row>
    <row r="81" spans="1:9" ht="24.95" customHeight="1" thickBot="1" x14ac:dyDescent="0.3">
      <c r="A81" s="16"/>
      <c r="B81" s="2"/>
      <c r="C81" s="2"/>
      <c r="D81" s="2"/>
      <c r="E81" s="47"/>
      <c r="F81" s="200" t="s">
        <v>92</v>
      </c>
      <c r="G81" s="201"/>
      <c r="H81" s="166"/>
      <c r="I81" s="167"/>
    </row>
    <row r="82" spans="1:9" ht="24.95" customHeight="1" thickBot="1" x14ac:dyDescent="0.3">
      <c r="A82" s="20"/>
      <c r="B82" s="3"/>
      <c r="C82" s="2"/>
      <c r="D82" s="2"/>
      <c r="E82" s="46"/>
      <c r="F82" s="200" t="s">
        <v>91</v>
      </c>
      <c r="G82" s="201"/>
      <c r="H82" s="183"/>
      <c r="I82" s="167"/>
    </row>
    <row r="83" spans="1:9" ht="35.1" customHeight="1" thickBot="1" x14ac:dyDescent="0.3">
      <c r="A83" s="221" t="s">
        <v>58</v>
      </c>
      <c r="B83" s="222"/>
      <c r="C83" s="6"/>
      <c r="D83" s="3"/>
      <c r="E83" s="3"/>
      <c r="F83" s="3"/>
      <c r="G83" s="8"/>
      <c r="H83" s="150"/>
      <c r="I83" s="151"/>
    </row>
    <row r="84" spans="1:9" ht="35.1" customHeight="1" thickBot="1" x14ac:dyDescent="0.3">
      <c r="A84" s="110" t="s">
        <v>6</v>
      </c>
      <c r="B84" s="62" t="s">
        <v>0</v>
      </c>
      <c r="C84" s="62" t="s">
        <v>1</v>
      </c>
      <c r="D84" s="65" t="s">
        <v>2</v>
      </c>
      <c r="E84" s="62" t="s">
        <v>3</v>
      </c>
      <c r="F84" s="65" t="s">
        <v>4</v>
      </c>
      <c r="G84" s="67" t="s">
        <v>5</v>
      </c>
      <c r="H84" s="194" t="s">
        <v>46</v>
      </c>
      <c r="I84" s="195"/>
    </row>
    <row r="85" spans="1:9" ht="24.95" customHeight="1" thickBot="1" x14ac:dyDescent="0.3">
      <c r="A85" s="111">
        <v>1</v>
      </c>
      <c r="B85" s="101" t="s">
        <v>130</v>
      </c>
      <c r="C85" s="104" t="s">
        <v>131</v>
      </c>
      <c r="D85" s="68">
        <v>2</v>
      </c>
      <c r="E85" s="68"/>
      <c r="F85" s="69" t="str">
        <f t="shared" ref="F85:F92" si="9">IF(E85="A","5",IF(E85="B","4",IF(E85="C","3",IF(E85="D","2",IF(E85="E","1",IF(E85="F","0","0"))))))</f>
        <v>0</v>
      </c>
      <c r="G85" s="70">
        <f>SUM(D85*F85)</f>
        <v>0</v>
      </c>
      <c r="H85" s="202" t="s">
        <v>47</v>
      </c>
      <c r="I85" s="193"/>
    </row>
    <row r="86" spans="1:9" ht="24.95" customHeight="1" thickBot="1" x14ac:dyDescent="0.3">
      <c r="A86" s="111">
        <v>2</v>
      </c>
      <c r="B86" s="101" t="s">
        <v>132</v>
      </c>
      <c r="C86" s="103" t="s">
        <v>133</v>
      </c>
      <c r="D86" s="68">
        <v>3</v>
      </c>
      <c r="E86" s="68"/>
      <c r="F86" s="69" t="str">
        <f t="shared" si="9"/>
        <v>0</v>
      </c>
      <c r="G86" s="70">
        <f t="shared" ref="G86:G92" si="10">SUM(D86*F86)</f>
        <v>0</v>
      </c>
      <c r="H86" s="203" t="s">
        <v>48</v>
      </c>
      <c r="I86" s="189"/>
    </row>
    <row r="87" spans="1:9" ht="24.95" customHeight="1" thickBot="1" x14ac:dyDescent="0.3">
      <c r="A87" s="111">
        <v>3</v>
      </c>
      <c r="B87" s="101" t="s">
        <v>134</v>
      </c>
      <c r="C87" s="104" t="s">
        <v>135</v>
      </c>
      <c r="D87" s="68">
        <v>3</v>
      </c>
      <c r="E87" s="68"/>
      <c r="F87" s="69" t="str">
        <f t="shared" si="9"/>
        <v>0</v>
      </c>
      <c r="G87" s="71">
        <f t="shared" si="10"/>
        <v>0</v>
      </c>
      <c r="H87" s="188" t="s">
        <v>49</v>
      </c>
      <c r="I87" s="189"/>
    </row>
    <row r="88" spans="1:9" ht="24.95" customHeight="1" thickBot="1" x14ac:dyDescent="0.3">
      <c r="A88" s="111">
        <v>4</v>
      </c>
      <c r="B88" s="101" t="s">
        <v>136</v>
      </c>
      <c r="C88" s="103" t="s">
        <v>137</v>
      </c>
      <c r="D88" s="68">
        <v>2</v>
      </c>
      <c r="E88" s="68"/>
      <c r="F88" s="69" t="str">
        <f t="shared" si="9"/>
        <v>0</v>
      </c>
      <c r="G88" s="71">
        <f t="shared" si="10"/>
        <v>0</v>
      </c>
      <c r="H88" s="188" t="s">
        <v>52</v>
      </c>
      <c r="I88" s="189"/>
    </row>
    <row r="89" spans="1:9" ht="24.95" customHeight="1" thickBot="1" x14ac:dyDescent="0.3">
      <c r="A89" s="111">
        <v>5</v>
      </c>
      <c r="B89" s="101" t="s">
        <v>138</v>
      </c>
      <c r="C89" s="103" t="s">
        <v>139</v>
      </c>
      <c r="D89" s="68">
        <v>3</v>
      </c>
      <c r="E89" s="68"/>
      <c r="F89" s="69" t="str">
        <f t="shared" si="9"/>
        <v>0</v>
      </c>
      <c r="G89" s="71">
        <f t="shared" si="10"/>
        <v>0</v>
      </c>
      <c r="H89" s="188" t="s">
        <v>51</v>
      </c>
      <c r="I89" s="189"/>
    </row>
    <row r="90" spans="1:9" ht="24.95" customHeight="1" thickBot="1" x14ac:dyDescent="0.3">
      <c r="A90" s="111">
        <v>6</v>
      </c>
      <c r="B90" s="101"/>
      <c r="C90" s="103" t="s">
        <v>40</v>
      </c>
      <c r="D90" s="68"/>
      <c r="E90" s="68"/>
      <c r="F90" s="69" t="str">
        <f t="shared" si="9"/>
        <v>0</v>
      </c>
      <c r="G90" s="71">
        <f t="shared" si="10"/>
        <v>0</v>
      </c>
      <c r="H90" s="190" t="s">
        <v>50</v>
      </c>
      <c r="I90" s="191"/>
    </row>
    <row r="91" spans="1:9" ht="24.95" customHeight="1" thickBot="1" x14ac:dyDescent="0.3">
      <c r="A91" s="111">
        <v>7</v>
      </c>
      <c r="B91" s="101"/>
      <c r="C91" s="103" t="s">
        <v>41</v>
      </c>
      <c r="D91" s="68"/>
      <c r="E91" s="68"/>
      <c r="F91" s="69" t="str">
        <f t="shared" si="9"/>
        <v>0</v>
      </c>
      <c r="G91" s="71">
        <f t="shared" si="10"/>
        <v>0</v>
      </c>
      <c r="H91" s="21"/>
      <c r="I91" s="11"/>
    </row>
    <row r="92" spans="1:9" ht="24.95" customHeight="1" thickBot="1" x14ac:dyDescent="0.3">
      <c r="A92" s="111">
        <v>8</v>
      </c>
      <c r="B92" s="101"/>
      <c r="C92" s="103" t="s">
        <v>42</v>
      </c>
      <c r="D92" s="68"/>
      <c r="E92" s="68"/>
      <c r="F92" s="69" t="str">
        <f t="shared" si="9"/>
        <v>0</v>
      </c>
      <c r="G92" s="71">
        <f t="shared" si="10"/>
        <v>0</v>
      </c>
      <c r="H92" s="138"/>
      <c r="I92" s="137"/>
    </row>
    <row r="93" spans="1:9" ht="35.1" customHeight="1" thickTop="1" thickBot="1" x14ac:dyDescent="0.45">
      <c r="A93" s="17"/>
      <c r="B93" s="5"/>
      <c r="C93" s="84" t="s">
        <v>20</v>
      </c>
      <c r="D93" s="85">
        <f>SUM(D85:D92)</f>
        <v>13</v>
      </c>
      <c r="E93" s="83"/>
      <c r="F93" s="83"/>
      <c r="G93" s="86">
        <f>SUM(G85:G92)</f>
        <v>0</v>
      </c>
      <c r="H93" s="154" t="s">
        <v>33</v>
      </c>
      <c r="I93" s="153">
        <f>SUM(G93/D93)</f>
        <v>0</v>
      </c>
    </row>
    <row r="94" spans="1:9" ht="35.1" customHeight="1" thickTop="1" thickBot="1" x14ac:dyDescent="0.3">
      <c r="A94" s="221" t="s">
        <v>59</v>
      </c>
      <c r="B94" s="222"/>
      <c r="C94" s="6"/>
      <c r="D94" s="3"/>
      <c r="E94" s="3"/>
      <c r="F94" s="3"/>
      <c r="G94" s="3"/>
      <c r="H94" s="155"/>
      <c r="I94" s="12"/>
    </row>
    <row r="95" spans="1:9" ht="35.1" customHeight="1" thickBot="1" x14ac:dyDescent="0.3">
      <c r="A95" s="110" t="s">
        <v>6</v>
      </c>
      <c r="B95" s="62" t="s">
        <v>0</v>
      </c>
      <c r="C95" s="62" t="s">
        <v>1</v>
      </c>
      <c r="D95" s="65" t="s">
        <v>2</v>
      </c>
      <c r="E95" s="62" t="s">
        <v>3</v>
      </c>
      <c r="F95" s="65" t="s">
        <v>4</v>
      </c>
      <c r="G95" s="67" t="s">
        <v>5</v>
      </c>
      <c r="H95" s="194" t="s">
        <v>46</v>
      </c>
      <c r="I95" s="195"/>
    </row>
    <row r="96" spans="1:9" ht="24.95" customHeight="1" thickBot="1" x14ac:dyDescent="0.3">
      <c r="A96" s="111">
        <v>1</v>
      </c>
      <c r="B96" s="101" t="s">
        <v>140</v>
      </c>
      <c r="C96" s="103" t="s">
        <v>141</v>
      </c>
      <c r="D96" s="68">
        <v>3</v>
      </c>
      <c r="E96" s="68"/>
      <c r="F96" s="69" t="str">
        <f t="shared" ref="F96:F105" si="11">IF(E96="A","5",IF(E96="B","4",IF(E96="C","3",IF(E96="D","2",IF(E96="E","1",IF(E96="F","0","0"))))))</f>
        <v>0</v>
      </c>
      <c r="G96" s="70">
        <f t="shared" ref="G96:G105" si="12">SUM(D96*F96)</f>
        <v>0</v>
      </c>
      <c r="H96" s="202" t="s">
        <v>47</v>
      </c>
      <c r="I96" s="193"/>
    </row>
    <row r="97" spans="1:9" ht="24.95" customHeight="1" thickBot="1" x14ac:dyDescent="0.3">
      <c r="A97" s="111">
        <v>2</v>
      </c>
      <c r="B97" s="101" t="s">
        <v>142</v>
      </c>
      <c r="C97" s="103" t="s">
        <v>143</v>
      </c>
      <c r="D97" s="68">
        <v>3</v>
      </c>
      <c r="E97" s="68"/>
      <c r="F97" s="69" t="str">
        <f t="shared" si="11"/>
        <v>0</v>
      </c>
      <c r="G97" s="70">
        <f t="shared" si="12"/>
        <v>0</v>
      </c>
      <c r="H97" s="203" t="s">
        <v>48</v>
      </c>
      <c r="I97" s="189"/>
    </row>
    <row r="98" spans="1:9" ht="24.95" customHeight="1" thickBot="1" x14ac:dyDescent="0.3">
      <c r="A98" s="111">
        <v>3</v>
      </c>
      <c r="B98" s="101" t="s">
        <v>144</v>
      </c>
      <c r="C98" s="103" t="s">
        <v>145</v>
      </c>
      <c r="D98" s="68">
        <v>2</v>
      </c>
      <c r="E98" s="68"/>
      <c r="F98" s="69" t="str">
        <f t="shared" si="11"/>
        <v>0</v>
      </c>
      <c r="G98" s="71">
        <f t="shared" si="12"/>
        <v>0</v>
      </c>
      <c r="H98" s="188" t="s">
        <v>49</v>
      </c>
      <c r="I98" s="189"/>
    </row>
    <row r="99" spans="1:9" ht="24.95" customHeight="1" thickBot="1" x14ac:dyDescent="0.3">
      <c r="A99" s="111">
        <v>4</v>
      </c>
      <c r="B99" s="101" t="s">
        <v>146</v>
      </c>
      <c r="C99" s="104" t="s">
        <v>147</v>
      </c>
      <c r="D99" s="68">
        <v>2</v>
      </c>
      <c r="E99" s="68"/>
      <c r="F99" s="69" t="str">
        <f t="shared" si="11"/>
        <v>0</v>
      </c>
      <c r="G99" s="71">
        <f t="shared" si="12"/>
        <v>0</v>
      </c>
      <c r="H99" s="188" t="s">
        <v>52</v>
      </c>
      <c r="I99" s="189"/>
    </row>
    <row r="100" spans="1:9" ht="24.95" customHeight="1" thickBot="1" x14ac:dyDescent="0.3">
      <c r="A100" s="111">
        <v>5</v>
      </c>
      <c r="B100" s="101" t="s">
        <v>148</v>
      </c>
      <c r="C100" s="103" t="s">
        <v>149</v>
      </c>
      <c r="D100" s="68">
        <v>2</v>
      </c>
      <c r="E100" s="68"/>
      <c r="F100" s="69" t="str">
        <f t="shared" si="11"/>
        <v>0</v>
      </c>
      <c r="G100" s="71">
        <f t="shared" si="12"/>
        <v>0</v>
      </c>
      <c r="H100" s="188" t="s">
        <v>51</v>
      </c>
      <c r="I100" s="189"/>
    </row>
    <row r="101" spans="1:9" ht="24.95" customHeight="1" thickBot="1" x14ac:dyDescent="0.3">
      <c r="A101" s="111">
        <v>6</v>
      </c>
      <c r="B101" s="101" t="s">
        <v>150</v>
      </c>
      <c r="C101" s="103" t="s">
        <v>151</v>
      </c>
      <c r="D101" s="68">
        <v>3</v>
      </c>
      <c r="E101" s="68"/>
      <c r="F101" s="69" t="str">
        <f t="shared" si="11"/>
        <v>0</v>
      </c>
      <c r="G101" s="71">
        <f t="shared" si="12"/>
        <v>0</v>
      </c>
      <c r="H101" s="190" t="s">
        <v>50</v>
      </c>
      <c r="I101" s="191"/>
    </row>
    <row r="102" spans="1:9" ht="24.95" customHeight="1" thickBot="1" x14ac:dyDescent="0.3">
      <c r="A102" s="111">
        <v>8</v>
      </c>
      <c r="B102" s="101"/>
      <c r="C102" s="103" t="s">
        <v>40</v>
      </c>
      <c r="D102" s="68"/>
      <c r="E102" s="68"/>
      <c r="F102" s="69" t="str">
        <f t="shared" si="11"/>
        <v>0</v>
      </c>
      <c r="G102" s="71">
        <f t="shared" si="12"/>
        <v>0</v>
      </c>
      <c r="H102" s="16"/>
      <c r="I102" s="12"/>
    </row>
    <row r="103" spans="1:9" ht="24.95" customHeight="1" thickBot="1" x14ac:dyDescent="0.3">
      <c r="A103" s="111">
        <v>9</v>
      </c>
      <c r="B103" s="101"/>
      <c r="C103" s="103" t="s">
        <v>41</v>
      </c>
      <c r="D103" s="68"/>
      <c r="E103" s="68"/>
      <c r="F103" s="69" t="str">
        <f t="shared" si="11"/>
        <v>0</v>
      </c>
      <c r="G103" s="71">
        <f t="shared" si="12"/>
        <v>0</v>
      </c>
      <c r="H103" s="16"/>
      <c r="I103" s="12"/>
    </row>
    <row r="104" spans="1:9" ht="24.95" customHeight="1" thickBot="1" x14ac:dyDescent="0.3">
      <c r="A104" s="111">
        <v>10</v>
      </c>
      <c r="B104" s="101"/>
      <c r="C104" s="103" t="s">
        <v>42</v>
      </c>
      <c r="D104" s="68"/>
      <c r="E104" s="68"/>
      <c r="F104" s="69" t="str">
        <f t="shared" si="11"/>
        <v>0</v>
      </c>
      <c r="G104" s="71">
        <f t="shared" si="12"/>
        <v>0</v>
      </c>
      <c r="H104" s="16"/>
      <c r="I104" s="12"/>
    </row>
    <row r="105" spans="1:9" ht="24.95" customHeight="1" thickBot="1" x14ac:dyDescent="0.3">
      <c r="A105" s="111">
        <v>11</v>
      </c>
      <c r="B105" s="101"/>
      <c r="C105" s="103" t="s">
        <v>43</v>
      </c>
      <c r="D105" s="68"/>
      <c r="E105" s="68"/>
      <c r="F105" s="69" t="str">
        <f t="shared" si="11"/>
        <v>0</v>
      </c>
      <c r="G105" s="71">
        <f t="shared" si="12"/>
        <v>0</v>
      </c>
      <c r="H105" s="138"/>
      <c r="I105" s="137"/>
    </row>
    <row r="106" spans="1:9" ht="35.1" customHeight="1" thickBot="1" x14ac:dyDescent="0.45">
      <c r="A106" s="119"/>
      <c r="B106" s="96"/>
      <c r="C106" s="95" t="s">
        <v>20</v>
      </c>
      <c r="D106" s="120">
        <f>SUM(D96:D105)</f>
        <v>15</v>
      </c>
      <c r="E106" s="96"/>
      <c r="F106" s="96"/>
      <c r="G106" s="97">
        <f>SUM(G96:G105)</f>
        <v>0</v>
      </c>
      <c r="H106" s="90" t="s">
        <v>33</v>
      </c>
      <c r="I106" s="91">
        <f>SUM(G106/D106)</f>
        <v>0</v>
      </c>
    </row>
    <row r="107" spans="1:9" ht="24.95" customHeight="1" thickTop="1" thickBot="1" x14ac:dyDescent="0.3">
      <c r="A107" s="112"/>
      <c r="B107" s="2"/>
      <c r="C107" s="2"/>
      <c r="D107" s="2"/>
      <c r="E107" s="2"/>
      <c r="F107" s="2"/>
      <c r="G107" s="12"/>
      <c r="H107" s="121" t="s">
        <v>37</v>
      </c>
      <c r="I107" s="125">
        <f>(G93+G106)/(D93+D106)</f>
        <v>0</v>
      </c>
    </row>
    <row r="108" spans="1:9" ht="24.95" customHeight="1" thickTop="1" x14ac:dyDescent="0.25">
      <c r="A108" s="16"/>
      <c r="B108" s="2"/>
      <c r="C108" s="2"/>
      <c r="D108" s="2"/>
      <c r="E108" s="184" t="s">
        <v>94</v>
      </c>
      <c r="F108" s="185"/>
      <c r="G108" s="169"/>
      <c r="H108" s="170"/>
      <c r="I108" s="171"/>
    </row>
    <row r="109" spans="1:9" ht="24.95" customHeight="1" thickBot="1" x14ac:dyDescent="0.3">
      <c r="A109" s="16"/>
      <c r="B109" s="2"/>
      <c r="C109" s="2"/>
      <c r="D109" s="2"/>
      <c r="E109" s="186"/>
      <c r="F109" s="187"/>
      <c r="G109" s="172"/>
      <c r="H109" s="173"/>
      <c r="I109" s="174"/>
    </row>
    <row r="110" spans="1:9" ht="24.95" customHeight="1" thickTop="1" x14ac:dyDescent="0.25">
      <c r="A110" s="16"/>
      <c r="B110" s="2"/>
      <c r="C110" s="2"/>
      <c r="D110" s="2"/>
      <c r="E110" s="184" t="s">
        <v>95</v>
      </c>
      <c r="F110" s="185"/>
      <c r="G110" s="175"/>
      <c r="H110" s="176"/>
      <c r="I110" s="177"/>
    </row>
    <row r="111" spans="1:9" ht="24.95" customHeight="1" thickBot="1" x14ac:dyDescent="0.3">
      <c r="A111" s="138"/>
      <c r="B111" s="2"/>
      <c r="C111" s="2"/>
      <c r="D111" s="137"/>
      <c r="E111" s="186"/>
      <c r="F111" s="187"/>
      <c r="G111" s="178"/>
      <c r="H111" s="179"/>
      <c r="I111" s="180"/>
    </row>
    <row r="112" spans="1:9" ht="35.1" customHeight="1" thickTop="1" x14ac:dyDescent="0.25">
      <c r="A112" s="2"/>
      <c r="B112" s="36"/>
      <c r="C112" s="36"/>
      <c r="D112" s="2"/>
      <c r="E112" s="2"/>
      <c r="F112" s="2"/>
      <c r="G112" s="2"/>
      <c r="H112" s="127"/>
      <c r="I112" s="122"/>
    </row>
    <row r="113" spans="1:9" ht="32.1" customHeight="1" thickBot="1" x14ac:dyDescent="0.3">
      <c r="A113" s="124"/>
      <c r="B113" s="124"/>
      <c r="C113" s="124"/>
      <c r="D113" s="124"/>
      <c r="E113" s="124"/>
      <c r="F113" s="124"/>
      <c r="G113" s="124"/>
      <c r="H113" s="215"/>
      <c r="I113" s="215"/>
    </row>
    <row r="114" spans="1:9" ht="35.1" customHeight="1" thickTop="1" thickBot="1" x14ac:dyDescent="0.3">
      <c r="A114" s="16"/>
      <c r="B114" s="2"/>
      <c r="C114" s="2"/>
      <c r="D114" s="2"/>
      <c r="E114" s="47"/>
      <c r="F114" s="241" t="s">
        <v>93</v>
      </c>
      <c r="G114" s="242"/>
      <c r="H114" s="181"/>
      <c r="I114" s="182"/>
    </row>
    <row r="115" spans="1:9" ht="24.95" customHeight="1" thickBot="1" x14ac:dyDescent="0.3">
      <c r="A115" s="16"/>
      <c r="B115" s="2"/>
      <c r="C115" s="2"/>
      <c r="D115" s="2"/>
      <c r="E115" s="47"/>
      <c r="F115" s="200" t="s">
        <v>92</v>
      </c>
      <c r="G115" s="201"/>
      <c r="H115" s="166"/>
      <c r="I115" s="167"/>
    </row>
    <row r="116" spans="1:9" ht="24.95" customHeight="1" thickBot="1" x14ac:dyDescent="0.3">
      <c r="A116" s="20"/>
      <c r="B116" s="3"/>
      <c r="C116" s="2"/>
      <c r="D116" s="2"/>
      <c r="E116" s="46"/>
      <c r="F116" s="200" t="s">
        <v>91</v>
      </c>
      <c r="G116" s="201"/>
      <c r="H116" s="168"/>
      <c r="I116" s="167"/>
    </row>
    <row r="117" spans="1:9" ht="35.1" customHeight="1" thickBot="1" x14ac:dyDescent="0.3">
      <c r="A117" s="221" t="s">
        <v>60</v>
      </c>
      <c r="B117" s="222"/>
      <c r="C117" s="6"/>
      <c r="D117" s="3"/>
      <c r="E117" s="3"/>
      <c r="F117" s="3"/>
      <c r="G117" s="8"/>
      <c r="H117" s="8"/>
      <c r="I117" s="18"/>
    </row>
    <row r="118" spans="1:9" ht="35.1" customHeight="1" thickBot="1" x14ac:dyDescent="0.3">
      <c r="A118" s="110" t="s">
        <v>6</v>
      </c>
      <c r="B118" s="62" t="s">
        <v>0</v>
      </c>
      <c r="C118" s="62" t="s">
        <v>1</v>
      </c>
      <c r="D118" s="65" t="s">
        <v>2</v>
      </c>
      <c r="E118" s="62" t="s">
        <v>3</v>
      </c>
      <c r="F118" s="65" t="s">
        <v>4</v>
      </c>
      <c r="G118" s="67" t="s">
        <v>5</v>
      </c>
      <c r="H118" s="194" t="s">
        <v>46</v>
      </c>
      <c r="I118" s="195"/>
    </row>
    <row r="119" spans="1:9" ht="24.95" customHeight="1" thickBot="1" x14ac:dyDescent="0.3">
      <c r="A119" s="111">
        <v>1</v>
      </c>
      <c r="B119" s="101" t="s">
        <v>152</v>
      </c>
      <c r="C119" s="103" t="s">
        <v>153</v>
      </c>
      <c r="D119" s="68">
        <v>2</v>
      </c>
      <c r="E119" s="68"/>
      <c r="F119" s="69" t="str">
        <f t="shared" ref="F119:F126" si="13">IF(E119="A","5",IF(E119="B","4",IF(E119="C","3",IF(E119="D","2",IF(E119="E","1",IF(E119="F","0","0"))))))</f>
        <v>0</v>
      </c>
      <c r="G119" s="70">
        <f t="shared" ref="G119:G126" si="14">SUM(D119*F119)</f>
        <v>0</v>
      </c>
      <c r="H119" s="202" t="s">
        <v>47</v>
      </c>
      <c r="I119" s="193"/>
    </row>
    <row r="120" spans="1:9" ht="24.95" customHeight="1" thickBot="1" x14ac:dyDescent="0.3">
      <c r="A120" s="111">
        <v>2</v>
      </c>
      <c r="B120" s="101" t="s">
        <v>154</v>
      </c>
      <c r="C120" s="103" t="s">
        <v>155</v>
      </c>
      <c r="D120" s="68">
        <v>2</v>
      </c>
      <c r="E120" s="68"/>
      <c r="F120" s="69" t="str">
        <f t="shared" si="13"/>
        <v>0</v>
      </c>
      <c r="G120" s="70">
        <f t="shared" si="14"/>
        <v>0</v>
      </c>
      <c r="H120" s="203" t="s">
        <v>48</v>
      </c>
      <c r="I120" s="189"/>
    </row>
    <row r="121" spans="1:9" ht="24.95" customHeight="1" thickBot="1" x14ac:dyDescent="0.3">
      <c r="A121" s="111">
        <v>3</v>
      </c>
      <c r="B121" s="101" t="s">
        <v>156</v>
      </c>
      <c r="C121" s="103" t="s">
        <v>157</v>
      </c>
      <c r="D121" s="68">
        <v>3</v>
      </c>
      <c r="E121" s="68"/>
      <c r="F121" s="69" t="str">
        <f t="shared" si="13"/>
        <v>0</v>
      </c>
      <c r="G121" s="71">
        <f t="shared" si="14"/>
        <v>0</v>
      </c>
      <c r="H121" s="188" t="s">
        <v>49</v>
      </c>
      <c r="I121" s="189"/>
    </row>
    <row r="122" spans="1:9" ht="24.95" customHeight="1" thickBot="1" x14ac:dyDescent="0.3">
      <c r="A122" s="111">
        <v>4</v>
      </c>
      <c r="B122" s="101" t="s">
        <v>158</v>
      </c>
      <c r="C122" s="104" t="s">
        <v>159</v>
      </c>
      <c r="D122" s="68">
        <v>3</v>
      </c>
      <c r="E122" s="68"/>
      <c r="F122" s="69" t="str">
        <f t="shared" si="13"/>
        <v>0</v>
      </c>
      <c r="G122" s="71">
        <f t="shared" si="14"/>
        <v>0</v>
      </c>
      <c r="H122" s="188" t="s">
        <v>52</v>
      </c>
      <c r="I122" s="189"/>
    </row>
    <row r="123" spans="1:9" ht="24.95" customHeight="1" thickBot="1" x14ac:dyDescent="0.3">
      <c r="A123" s="111">
        <v>5</v>
      </c>
      <c r="B123" s="101"/>
      <c r="C123" s="103" t="s">
        <v>40</v>
      </c>
      <c r="D123" s="68"/>
      <c r="E123" s="68"/>
      <c r="F123" s="69" t="str">
        <f t="shared" si="13"/>
        <v>0</v>
      </c>
      <c r="G123" s="71">
        <f t="shared" si="14"/>
        <v>0</v>
      </c>
      <c r="H123" s="188" t="s">
        <v>51</v>
      </c>
      <c r="I123" s="189"/>
    </row>
    <row r="124" spans="1:9" ht="24.95" customHeight="1" thickBot="1" x14ac:dyDescent="0.3">
      <c r="A124" s="111">
        <v>6</v>
      </c>
      <c r="B124" s="101"/>
      <c r="C124" s="103" t="s">
        <v>41</v>
      </c>
      <c r="D124" s="68"/>
      <c r="E124" s="68"/>
      <c r="F124" s="69" t="str">
        <f t="shared" si="13"/>
        <v>0</v>
      </c>
      <c r="G124" s="71">
        <f t="shared" si="14"/>
        <v>0</v>
      </c>
      <c r="H124" s="190" t="s">
        <v>50</v>
      </c>
      <c r="I124" s="191"/>
    </row>
    <row r="125" spans="1:9" ht="24.95" customHeight="1" thickBot="1" x14ac:dyDescent="0.3">
      <c r="A125" s="111">
        <v>7</v>
      </c>
      <c r="B125" s="101"/>
      <c r="C125" s="103" t="s">
        <v>42</v>
      </c>
      <c r="D125" s="68"/>
      <c r="E125" s="68"/>
      <c r="F125" s="69" t="str">
        <f t="shared" si="13"/>
        <v>0</v>
      </c>
      <c r="G125" s="71">
        <f t="shared" si="14"/>
        <v>0</v>
      </c>
      <c r="H125" s="19"/>
      <c r="I125" s="11"/>
    </row>
    <row r="126" spans="1:9" ht="24.95" customHeight="1" thickBot="1" x14ac:dyDescent="0.3">
      <c r="A126" s="111">
        <v>8</v>
      </c>
      <c r="B126" s="101"/>
      <c r="C126" s="103" t="s">
        <v>43</v>
      </c>
      <c r="D126" s="68"/>
      <c r="E126" s="68"/>
      <c r="F126" s="69" t="str">
        <f t="shared" si="13"/>
        <v>0</v>
      </c>
      <c r="G126" s="71">
        <f t="shared" si="14"/>
        <v>0</v>
      </c>
      <c r="H126" s="16"/>
      <c r="I126" s="12"/>
    </row>
    <row r="127" spans="1:9" ht="24.95" customHeight="1" thickBot="1" x14ac:dyDescent="0.45">
      <c r="A127" s="17"/>
      <c r="B127" s="5"/>
      <c r="C127" s="84" t="s">
        <v>20</v>
      </c>
      <c r="D127" s="85">
        <f>SUM(D119:D126)</f>
        <v>10</v>
      </c>
      <c r="E127" s="83"/>
      <c r="F127" s="83"/>
      <c r="G127" s="86">
        <f>SUM(G119:G126)</f>
        <v>0</v>
      </c>
      <c r="H127" s="87" t="s">
        <v>33</v>
      </c>
      <c r="I127" s="92">
        <f>SUM(G127/D127)</f>
        <v>0</v>
      </c>
    </row>
    <row r="128" spans="1:9" ht="35.1" customHeight="1" thickBot="1" x14ac:dyDescent="0.3">
      <c r="A128" s="221" t="s">
        <v>61</v>
      </c>
      <c r="B128" s="222"/>
      <c r="C128" s="4"/>
      <c r="D128" s="8"/>
      <c r="E128" s="8"/>
      <c r="F128" s="8"/>
      <c r="G128" s="8"/>
      <c r="H128" s="16"/>
      <c r="I128" s="12"/>
    </row>
    <row r="129" spans="1:9" ht="35.1" customHeight="1" thickBot="1" x14ac:dyDescent="0.3">
      <c r="A129" s="110" t="s">
        <v>6</v>
      </c>
      <c r="B129" s="62" t="s">
        <v>0</v>
      </c>
      <c r="C129" s="62" t="s">
        <v>1</v>
      </c>
      <c r="D129" s="65" t="s">
        <v>2</v>
      </c>
      <c r="E129" s="62" t="s">
        <v>3</v>
      </c>
      <c r="F129" s="65" t="s">
        <v>4</v>
      </c>
      <c r="G129" s="67" t="s">
        <v>5</v>
      </c>
      <c r="H129" s="194" t="s">
        <v>46</v>
      </c>
      <c r="I129" s="195"/>
    </row>
    <row r="130" spans="1:9" ht="24.95" customHeight="1" thickBot="1" x14ac:dyDescent="0.3">
      <c r="A130" s="111">
        <v>1</v>
      </c>
      <c r="B130" s="101" t="s">
        <v>160</v>
      </c>
      <c r="C130" s="103" t="s">
        <v>161</v>
      </c>
      <c r="D130" s="68">
        <v>2</v>
      </c>
      <c r="E130" s="68"/>
      <c r="F130" s="69" t="str">
        <f t="shared" ref="F130:F136" si="15">IF(E130="A","5",IF(E130="B","4",IF(E130="C","3",IF(E130="D","2",IF(E130="E","1",IF(E130="F","0","0"))))))</f>
        <v>0</v>
      </c>
      <c r="G130" s="70">
        <f t="shared" ref="G130:G136" si="16">SUM(D130*F130)</f>
        <v>0</v>
      </c>
      <c r="H130" s="202" t="s">
        <v>47</v>
      </c>
      <c r="I130" s="193"/>
    </row>
    <row r="131" spans="1:9" ht="24.95" customHeight="1" thickBot="1" x14ac:dyDescent="0.3">
      <c r="A131" s="111">
        <v>2</v>
      </c>
      <c r="B131" s="101" t="s">
        <v>162</v>
      </c>
      <c r="C131" s="103" t="s">
        <v>163</v>
      </c>
      <c r="D131" s="68">
        <v>2</v>
      </c>
      <c r="E131" s="68"/>
      <c r="F131" s="69" t="str">
        <f t="shared" si="15"/>
        <v>0</v>
      </c>
      <c r="G131" s="70">
        <f t="shared" si="16"/>
        <v>0</v>
      </c>
      <c r="H131" s="203" t="s">
        <v>48</v>
      </c>
      <c r="I131" s="189"/>
    </row>
    <row r="132" spans="1:9" ht="24.95" customHeight="1" thickBot="1" x14ac:dyDescent="0.3">
      <c r="A132" s="111">
        <v>3</v>
      </c>
      <c r="B132" s="101" t="s">
        <v>164</v>
      </c>
      <c r="C132" s="103" t="s">
        <v>165</v>
      </c>
      <c r="D132" s="68">
        <v>2</v>
      </c>
      <c r="E132" s="68"/>
      <c r="F132" s="69" t="str">
        <f t="shared" ref="F132:F135" si="17">IF(E132="A","5",IF(E132="B","4",IF(E132="C","3",IF(E132="D","2",IF(E132="E","1",IF(E132="F","0","0"))))))</f>
        <v>0</v>
      </c>
      <c r="G132" s="70">
        <f t="shared" ref="G132:G135" si="18">SUM(D132*F132)</f>
        <v>0</v>
      </c>
      <c r="H132" s="188" t="s">
        <v>49</v>
      </c>
      <c r="I132" s="189"/>
    </row>
    <row r="133" spans="1:9" ht="24.95" customHeight="1" thickBot="1" x14ac:dyDescent="0.3">
      <c r="A133" s="111">
        <v>4</v>
      </c>
      <c r="B133" s="101" t="s">
        <v>166</v>
      </c>
      <c r="C133" s="103" t="s">
        <v>167</v>
      </c>
      <c r="D133" s="68">
        <v>2</v>
      </c>
      <c r="E133" s="68"/>
      <c r="F133" s="69" t="str">
        <f t="shared" si="17"/>
        <v>0</v>
      </c>
      <c r="G133" s="70">
        <f t="shared" si="18"/>
        <v>0</v>
      </c>
      <c r="H133" s="188" t="s">
        <v>52</v>
      </c>
      <c r="I133" s="189"/>
    </row>
    <row r="134" spans="1:9" ht="24.95" customHeight="1" thickBot="1" x14ac:dyDescent="0.3">
      <c r="A134" s="111">
        <v>5</v>
      </c>
      <c r="B134" s="101" t="s">
        <v>168</v>
      </c>
      <c r="C134" s="103" t="s">
        <v>169</v>
      </c>
      <c r="D134" s="68">
        <v>2</v>
      </c>
      <c r="E134" s="68"/>
      <c r="F134" s="69" t="str">
        <f t="shared" si="17"/>
        <v>0</v>
      </c>
      <c r="G134" s="70">
        <f t="shared" si="18"/>
        <v>0</v>
      </c>
      <c r="H134" s="188" t="s">
        <v>51</v>
      </c>
      <c r="I134" s="189"/>
    </row>
    <row r="135" spans="1:9" ht="24.95" customHeight="1" thickBot="1" x14ac:dyDescent="0.3">
      <c r="A135" s="111">
        <v>6</v>
      </c>
      <c r="B135" s="101" t="s">
        <v>170</v>
      </c>
      <c r="C135" s="103" t="s">
        <v>171</v>
      </c>
      <c r="D135" s="68">
        <v>2</v>
      </c>
      <c r="E135" s="68"/>
      <c r="F135" s="69" t="str">
        <f t="shared" si="17"/>
        <v>0</v>
      </c>
      <c r="G135" s="70">
        <f t="shared" si="18"/>
        <v>0</v>
      </c>
      <c r="H135" s="190" t="s">
        <v>50</v>
      </c>
      <c r="I135" s="191"/>
    </row>
    <row r="136" spans="1:9" ht="24.95" customHeight="1" thickTop="1" thickBot="1" x14ac:dyDescent="0.3">
      <c r="A136" s="111">
        <v>7</v>
      </c>
      <c r="B136" s="101" t="s">
        <v>172</v>
      </c>
      <c r="C136" s="103" t="s">
        <v>173</v>
      </c>
      <c r="D136" s="68">
        <v>2</v>
      </c>
      <c r="E136" s="68"/>
      <c r="F136" s="69" t="str">
        <f t="shared" si="15"/>
        <v>0</v>
      </c>
      <c r="G136" s="70">
        <f t="shared" si="16"/>
        <v>0</v>
      </c>
      <c r="H136" s="27"/>
      <c r="I136" s="152"/>
    </row>
    <row r="137" spans="1:9" ht="24.95" customHeight="1" thickBot="1" x14ac:dyDescent="0.3">
      <c r="A137" s="111">
        <v>8</v>
      </c>
      <c r="B137" s="101"/>
      <c r="C137" s="103" t="s">
        <v>40</v>
      </c>
      <c r="D137" s="68"/>
      <c r="E137" s="68"/>
      <c r="F137" s="69" t="str">
        <f t="shared" ref="F137" si="19">IF(E137="A","5",IF(E137="B","4",IF(E137="C","3",IF(E137="D","2",IF(E137="E","1",IF(E137="F","0","0"))))))</f>
        <v>0</v>
      </c>
      <c r="G137" s="70">
        <f t="shared" ref="G137" si="20">SUM(D137*F137)</f>
        <v>0</v>
      </c>
      <c r="H137" s="157"/>
      <c r="I137" s="148"/>
    </row>
    <row r="138" spans="1:9" ht="24.95" customHeight="1" thickBot="1" x14ac:dyDescent="0.3">
      <c r="A138" s="111">
        <v>9</v>
      </c>
      <c r="B138" s="101"/>
      <c r="C138" s="103" t="s">
        <v>41</v>
      </c>
      <c r="D138" s="68"/>
      <c r="E138" s="68"/>
      <c r="F138" s="69" t="str">
        <f t="shared" ref="F138" si="21">IF(E138="A","5",IF(E138="B","4",IF(E138="C","3",IF(E138="D","2",IF(E138="E","1",IF(E138="F","0","0"))))))</f>
        <v>0</v>
      </c>
      <c r="G138" s="70">
        <f t="shared" ref="G138" si="22">SUM(D138*F138)</f>
        <v>0</v>
      </c>
      <c r="H138" s="149"/>
      <c r="I138" s="148"/>
    </row>
    <row r="139" spans="1:9" ht="24.95" customHeight="1" thickBot="1" x14ac:dyDescent="0.3">
      <c r="A139" s="111">
        <v>10</v>
      </c>
      <c r="B139" s="101"/>
      <c r="C139" s="103" t="s">
        <v>42</v>
      </c>
      <c r="D139" s="68"/>
      <c r="E139" s="68"/>
      <c r="F139" s="69" t="str">
        <f t="shared" ref="F139" si="23">IF(E139="A","5",IF(E139="B","4",IF(E139="C","3",IF(E139="D","2",IF(E139="E","1",IF(E139="F","0","0"))))))</f>
        <v>0</v>
      </c>
      <c r="G139" s="70">
        <f t="shared" ref="G139" si="24">SUM(D139*F139)</f>
        <v>0</v>
      </c>
      <c r="H139" s="144"/>
      <c r="I139" s="151"/>
    </row>
    <row r="140" spans="1:9" ht="35.1" customHeight="1" thickTop="1" thickBot="1" x14ac:dyDescent="0.45">
      <c r="A140" s="119"/>
      <c r="B140" s="96"/>
      <c r="C140" s="95" t="s">
        <v>20</v>
      </c>
      <c r="D140" s="120">
        <f>SUM(D130:D139)</f>
        <v>14</v>
      </c>
      <c r="E140" s="96"/>
      <c r="F140" s="96"/>
      <c r="G140" s="97">
        <f>SUM(G139:G139)</f>
        <v>0</v>
      </c>
      <c r="H140" s="156" t="s">
        <v>33</v>
      </c>
      <c r="I140" s="145">
        <f>SUM(G140/D140)</f>
        <v>0</v>
      </c>
    </row>
    <row r="141" spans="1:9" ht="24.95" customHeight="1" thickTop="1" thickBot="1" x14ac:dyDescent="0.3">
      <c r="A141" s="112"/>
      <c r="B141" s="2"/>
      <c r="C141" s="2"/>
      <c r="D141" s="2"/>
      <c r="E141" s="2"/>
      <c r="F141" s="2"/>
      <c r="G141" s="12"/>
      <c r="H141" s="121" t="s">
        <v>35</v>
      </c>
      <c r="I141" s="134">
        <f>(G127+G140)/(D127+D140)</f>
        <v>0</v>
      </c>
    </row>
    <row r="142" spans="1:9" ht="24.95" customHeight="1" thickTop="1" x14ac:dyDescent="0.25">
      <c r="A142" s="16"/>
      <c r="B142" s="2"/>
      <c r="C142" s="2"/>
      <c r="D142" s="2"/>
      <c r="E142" s="184" t="s">
        <v>94</v>
      </c>
      <c r="F142" s="185"/>
      <c r="G142" s="169"/>
      <c r="H142" s="170"/>
      <c r="I142" s="171"/>
    </row>
    <row r="143" spans="1:9" ht="24.95" customHeight="1" thickBot="1" x14ac:dyDescent="0.3">
      <c r="A143" s="16"/>
      <c r="B143" s="2"/>
      <c r="C143" s="2"/>
      <c r="D143" s="2"/>
      <c r="E143" s="186"/>
      <c r="F143" s="187"/>
      <c r="G143" s="172"/>
      <c r="H143" s="173"/>
      <c r="I143" s="174"/>
    </row>
    <row r="144" spans="1:9" ht="24.95" customHeight="1" thickTop="1" x14ac:dyDescent="0.25">
      <c r="A144" s="16"/>
      <c r="B144" s="2"/>
      <c r="C144" s="2"/>
      <c r="D144" s="2"/>
      <c r="E144" s="184" t="s">
        <v>95</v>
      </c>
      <c r="F144" s="185"/>
      <c r="G144" s="175"/>
      <c r="H144" s="176"/>
      <c r="I144" s="177"/>
    </row>
    <row r="145" spans="1:9" ht="24.95" customHeight="1" thickBot="1" x14ac:dyDescent="0.3">
      <c r="A145" s="138"/>
      <c r="B145" s="2"/>
      <c r="C145" s="124"/>
      <c r="D145" s="2"/>
      <c r="E145" s="186"/>
      <c r="F145" s="187"/>
      <c r="G145" s="178"/>
      <c r="H145" s="179"/>
      <c r="I145" s="180"/>
    </row>
    <row r="146" spans="1:9" ht="24.95" customHeight="1" thickTop="1" x14ac:dyDescent="0.25">
      <c r="A146" s="2"/>
      <c r="B146" s="36"/>
      <c r="C146" s="2"/>
      <c r="D146" s="36"/>
      <c r="E146" s="2"/>
      <c r="F146" s="2"/>
      <c r="G146" s="2"/>
      <c r="H146" s="36"/>
      <c r="I146" s="2"/>
    </row>
    <row r="147" spans="1:9" ht="24.95" customHeight="1" thickBot="1" x14ac:dyDescent="0.3">
      <c r="A147" s="2"/>
      <c r="B147" s="2"/>
      <c r="C147" s="124"/>
      <c r="D147" s="124"/>
      <c r="E147" s="124"/>
      <c r="F147" s="124"/>
      <c r="G147" s="124"/>
      <c r="H147" s="196"/>
      <c r="I147" s="196"/>
    </row>
    <row r="148" spans="1:9" ht="24.95" customHeight="1" thickTop="1" thickBot="1" x14ac:dyDescent="0.3">
      <c r="A148" s="112"/>
      <c r="B148" s="36"/>
      <c r="C148" s="2"/>
      <c r="D148" s="2"/>
      <c r="E148" s="47"/>
      <c r="F148" s="241" t="s">
        <v>93</v>
      </c>
      <c r="G148" s="242"/>
      <c r="H148" s="197"/>
      <c r="I148" s="198"/>
    </row>
    <row r="149" spans="1:9" ht="24.95" customHeight="1" thickBot="1" x14ac:dyDescent="0.3">
      <c r="A149" s="16"/>
      <c r="B149" s="2"/>
      <c r="C149" s="2"/>
      <c r="D149" s="2"/>
      <c r="E149" s="47"/>
      <c r="F149" s="200" t="s">
        <v>92</v>
      </c>
      <c r="G149" s="201"/>
      <c r="H149" s="166"/>
      <c r="I149" s="167"/>
    </row>
    <row r="150" spans="1:9" ht="24.95" customHeight="1" thickBot="1" x14ac:dyDescent="0.3">
      <c r="A150" s="20"/>
      <c r="B150" s="3"/>
      <c r="C150" s="2"/>
      <c r="D150" s="2"/>
      <c r="E150" s="46"/>
      <c r="F150" s="200" t="s">
        <v>91</v>
      </c>
      <c r="G150" s="201"/>
      <c r="H150" s="168"/>
      <c r="I150" s="167"/>
    </row>
    <row r="151" spans="1:9" ht="35.1" customHeight="1" thickBot="1" x14ac:dyDescent="0.3">
      <c r="A151" s="221" t="s">
        <v>62</v>
      </c>
      <c r="B151" s="222"/>
      <c r="C151" s="6"/>
      <c r="D151" s="3"/>
      <c r="E151" s="3"/>
      <c r="F151" s="3"/>
      <c r="G151" s="8"/>
      <c r="H151" s="206"/>
      <c r="I151" s="207"/>
    </row>
    <row r="152" spans="1:9" ht="35.1" customHeight="1" thickBot="1" x14ac:dyDescent="0.3">
      <c r="A152" s="110" t="s">
        <v>6</v>
      </c>
      <c r="B152" s="62" t="s">
        <v>0</v>
      </c>
      <c r="C152" s="62" t="s">
        <v>1</v>
      </c>
      <c r="D152" s="65" t="s">
        <v>2</v>
      </c>
      <c r="E152" s="62" t="s">
        <v>3</v>
      </c>
      <c r="F152" s="65" t="s">
        <v>4</v>
      </c>
      <c r="G152" s="67" t="s">
        <v>5</v>
      </c>
      <c r="H152" s="194" t="s">
        <v>46</v>
      </c>
      <c r="I152" s="195"/>
    </row>
    <row r="153" spans="1:9" ht="24.95" customHeight="1" thickBot="1" x14ac:dyDescent="0.3">
      <c r="A153" s="111">
        <v>1</v>
      </c>
      <c r="B153" s="101" t="s">
        <v>174</v>
      </c>
      <c r="C153" s="103" t="s">
        <v>175</v>
      </c>
      <c r="D153" s="68">
        <v>2</v>
      </c>
      <c r="E153" s="68"/>
      <c r="F153" s="69" t="str">
        <f t="shared" ref="F153:F159" si="25">IF(E153="A","5",IF(E153="B","4",IF(E153="C","3",IF(E153="D","2",IF(E153="E","1",IF(E153="F","0","0"))))))</f>
        <v>0</v>
      </c>
      <c r="G153" s="70">
        <f t="shared" ref="G153:G159" si="26">SUM(D153*F153)</f>
        <v>0</v>
      </c>
      <c r="H153" s="202" t="s">
        <v>47</v>
      </c>
      <c r="I153" s="193"/>
    </row>
    <row r="154" spans="1:9" ht="24.95" customHeight="1" thickBot="1" x14ac:dyDescent="0.3">
      <c r="A154" s="111">
        <v>2</v>
      </c>
      <c r="B154" s="101" t="s">
        <v>176</v>
      </c>
      <c r="C154" s="103" t="s">
        <v>177</v>
      </c>
      <c r="D154" s="68">
        <v>2</v>
      </c>
      <c r="E154" s="68"/>
      <c r="F154" s="69" t="str">
        <f t="shared" si="25"/>
        <v>0</v>
      </c>
      <c r="G154" s="70">
        <f t="shared" si="26"/>
        <v>0</v>
      </c>
      <c r="H154" s="203" t="s">
        <v>48</v>
      </c>
      <c r="I154" s="189"/>
    </row>
    <row r="155" spans="1:9" ht="24.95" customHeight="1" thickBot="1" x14ac:dyDescent="0.3">
      <c r="A155" s="111">
        <v>3</v>
      </c>
      <c r="B155" s="101" t="s">
        <v>178</v>
      </c>
      <c r="C155" s="103" t="s">
        <v>179</v>
      </c>
      <c r="D155" s="68">
        <v>3</v>
      </c>
      <c r="E155" s="68"/>
      <c r="F155" s="69" t="str">
        <f t="shared" si="25"/>
        <v>0</v>
      </c>
      <c r="G155" s="70">
        <f t="shared" si="26"/>
        <v>0</v>
      </c>
      <c r="H155" s="203" t="s">
        <v>49</v>
      </c>
      <c r="I155" s="189"/>
    </row>
    <row r="156" spans="1:9" ht="24.95" customHeight="1" thickBot="1" x14ac:dyDescent="0.3">
      <c r="A156" s="111">
        <v>4</v>
      </c>
      <c r="B156" s="101"/>
      <c r="C156" s="103" t="s">
        <v>40</v>
      </c>
      <c r="D156" s="68"/>
      <c r="E156" s="68"/>
      <c r="F156" s="69" t="str">
        <f t="shared" si="25"/>
        <v>0</v>
      </c>
      <c r="G156" s="71">
        <f t="shared" si="26"/>
        <v>0</v>
      </c>
      <c r="H156" s="188" t="s">
        <v>52</v>
      </c>
      <c r="I156" s="189"/>
    </row>
    <row r="157" spans="1:9" ht="24.95" customHeight="1" thickBot="1" x14ac:dyDescent="0.3">
      <c r="A157" s="111">
        <v>5</v>
      </c>
      <c r="B157" s="101"/>
      <c r="C157" s="103" t="s">
        <v>41</v>
      </c>
      <c r="D157" s="68"/>
      <c r="E157" s="68"/>
      <c r="F157" s="69" t="str">
        <f t="shared" si="25"/>
        <v>0</v>
      </c>
      <c r="G157" s="71">
        <f t="shared" si="26"/>
        <v>0</v>
      </c>
      <c r="H157" s="188" t="s">
        <v>51</v>
      </c>
      <c r="I157" s="189"/>
    </row>
    <row r="158" spans="1:9" ht="24.95" customHeight="1" thickBot="1" x14ac:dyDescent="0.3">
      <c r="A158" s="111">
        <v>6</v>
      </c>
      <c r="B158" s="101"/>
      <c r="C158" s="103" t="s">
        <v>42</v>
      </c>
      <c r="D158" s="68"/>
      <c r="E158" s="68"/>
      <c r="F158" s="69" t="str">
        <f t="shared" si="25"/>
        <v>0</v>
      </c>
      <c r="G158" s="71">
        <f t="shared" si="26"/>
        <v>0</v>
      </c>
      <c r="H158" s="190" t="s">
        <v>50</v>
      </c>
      <c r="I158" s="191"/>
    </row>
    <row r="159" spans="1:9" ht="24.95" customHeight="1" thickTop="1" thickBot="1" x14ac:dyDescent="0.3">
      <c r="A159" s="111">
        <v>7</v>
      </c>
      <c r="B159" s="101"/>
      <c r="C159" s="103" t="s">
        <v>43</v>
      </c>
      <c r="D159" s="68"/>
      <c r="E159" s="68"/>
      <c r="F159" s="69" t="str">
        <f t="shared" si="25"/>
        <v>0</v>
      </c>
      <c r="G159" s="71">
        <f t="shared" si="26"/>
        <v>0</v>
      </c>
      <c r="H159" s="197"/>
      <c r="I159" s="198"/>
    </row>
    <row r="160" spans="1:9" ht="35.1" customHeight="1" thickBot="1" x14ac:dyDescent="0.45">
      <c r="A160" s="17"/>
      <c r="B160" s="5"/>
      <c r="C160" s="84" t="s">
        <v>20</v>
      </c>
      <c r="D160" s="85">
        <f>SUM(D153:D159)</f>
        <v>7</v>
      </c>
      <c r="E160" s="83"/>
      <c r="F160" s="83"/>
      <c r="G160" s="86">
        <f>SUM(G153:G159)</f>
        <v>0</v>
      </c>
      <c r="H160" s="87" t="s">
        <v>33</v>
      </c>
      <c r="I160" s="88">
        <f>SUM(G160/D160)</f>
        <v>0</v>
      </c>
    </row>
    <row r="161" spans="1:13" ht="35.1" customHeight="1" thickBot="1" x14ac:dyDescent="0.3">
      <c r="A161" s="221" t="s">
        <v>63</v>
      </c>
      <c r="B161" s="222"/>
      <c r="C161" s="6"/>
      <c r="D161" s="3"/>
      <c r="E161" s="3"/>
      <c r="F161" s="3"/>
      <c r="G161" s="3"/>
      <c r="H161" s="128"/>
      <c r="I161" s="49"/>
    </row>
    <row r="162" spans="1:13" ht="35.1" customHeight="1" thickBot="1" x14ac:dyDescent="0.3">
      <c r="A162" s="110" t="s">
        <v>6</v>
      </c>
      <c r="B162" s="62" t="s">
        <v>0</v>
      </c>
      <c r="C162" s="62" t="s">
        <v>1</v>
      </c>
      <c r="D162" s="65" t="s">
        <v>2</v>
      </c>
      <c r="E162" s="62" t="s">
        <v>3</v>
      </c>
      <c r="F162" s="65" t="s">
        <v>4</v>
      </c>
      <c r="G162" s="67" t="s">
        <v>5</v>
      </c>
      <c r="H162" s="194" t="s">
        <v>46</v>
      </c>
      <c r="I162" s="195"/>
    </row>
    <row r="163" spans="1:13" ht="24.95" customHeight="1" thickBot="1" x14ac:dyDescent="0.3">
      <c r="A163" s="111">
        <v>1</v>
      </c>
      <c r="B163" s="101" t="s">
        <v>180</v>
      </c>
      <c r="C163" s="103" t="s">
        <v>181</v>
      </c>
      <c r="D163" s="68">
        <v>2</v>
      </c>
      <c r="E163" s="68"/>
      <c r="F163" s="69" t="str">
        <f t="shared" ref="F163:F170" si="27">IF(E163="A","5",IF(E163="B","4",IF(E163="C","3",IF(E163="D","2",IF(E163="E","1",IF(E163="F","0","0"))))))</f>
        <v>0</v>
      </c>
      <c r="G163" s="70">
        <f t="shared" ref="G163:G170" si="28">SUM(D163*F163)</f>
        <v>0</v>
      </c>
      <c r="H163" s="202" t="s">
        <v>47</v>
      </c>
      <c r="I163" s="193"/>
    </row>
    <row r="164" spans="1:13" ht="24.95" customHeight="1" thickBot="1" x14ac:dyDescent="0.3">
      <c r="A164" s="111">
        <v>2</v>
      </c>
      <c r="B164" s="101" t="s">
        <v>182</v>
      </c>
      <c r="C164" s="103" t="s">
        <v>183</v>
      </c>
      <c r="D164" s="68">
        <v>2</v>
      </c>
      <c r="E164" s="68"/>
      <c r="F164" s="69" t="str">
        <f t="shared" si="27"/>
        <v>0</v>
      </c>
      <c r="G164" s="70">
        <f t="shared" si="28"/>
        <v>0</v>
      </c>
      <c r="H164" s="203" t="s">
        <v>48</v>
      </c>
      <c r="I164" s="189"/>
    </row>
    <row r="165" spans="1:13" ht="24.95" customHeight="1" thickBot="1" x14ac:dyDescent="0.3">
      <c r="A165" s="111">
        <v>3</v>
      </c>
      <c r="B165" s="101" t="s">
        <v>184</v>
      </c>
      <c r="C165" s="103" t="s">
        <v>185</v>
      </c>
      <c r="D165" s="68">
        <v>2</v>
      </c>
      <c r="E165" s="68"/>
      <c r="F165" s="69" t="str">
        <f t="shared" si="27"/>
        <v>0</v>
      </c>
      <c r="G165" s="71">
        <f t="shared" si="28"/>
        <v>0</v>
      </c>
      <c r="H165" s="188" t="s">
        <v>49</v>
      </c>
      <c r="I165" s="189"/>
    </row>
    <row r="166" spans="1:13" ht="24.95" customHeight="1" thickBot="1" x14ac:dyDescent="0.3">
      <c r="A166" s="111">
        <v>4</v>
      </c>
      <c r="B166" s="101" t="s">
        <v>186</v>
      </c>
      <c r="C166" s="103" t="s">
        <v>187</v>
      </c>
      <c r="D166" s="68">
        <v>2</v>
      </c>
      <c r="E166" s="68"/>
      <c r="F166" s="69" t="str">
        <f t="shared" si="27"/>
        <v>0</v>
      </c>
      <c r="G166" s="71">
        <f t="shared" si="28"/>
        <v>0</v>
      </c>
      <c r="H166" s="188" t="s">
        <v>52</v>
      </c>
      <c r="I166" s="189"/>
      <c r="J166" s="53"/>
    </row>
    <row r="167" spans="1:13" ht="24.95" customHeight="1" thickTop="1" thickBot="1" x14ac:dyDescent="0.3">
      <c r="A167" s="111">
        <v>5</v>
      </c>
      <c r="B167" s="101"/>
      <c r="C167" s="103" t="s">
        <v>40</v>
      </c>
      <c r="D167" s="68"/>
      <c r="E167" s="68"/>
      <c r="F167" s="69" t="str">
        <f t="shared" si="27"/>
        <v>0</v>
      </c>
      <c r="G167" s="71">
        <f t="shared" si="28"/>
        <v>0</v>
      </c>
      <c r="H167" s="188" t="s">
        <v>51</v>
      </c>
      <c r="I167" s="189"/>
      <c r="J167" s="263" t="s">
        <v>44</v>
      </c>
      <c r="K167" s="264"/>
      <c r="L167" s="264"/>
      <c r="M167" s="265"/>
    </row>
    <row r="168" spans="1:13" ht="24.95" customHeight="1" thickBot="1" x14ac:dyDescent="0.3">
      <c r="A168" s="111">
        <v>6</v>
      </c>
      <c r="B168" s="101"/>
      <c r="C168" s="103" t="s">
        <v>41</v>
      </c>
      <c r="D168" s="68"/>
      <c r="E168" s="68"/>
      <c r="F168" s="69" t="str">
        <f t="shared" si="27"/>
        <v>0</v>
      </c>
      <c r="G168" s="71">
        <f t="shared" si="28"/>
        <v>0</v>
      </c>
      <c r="H168" s="190" t="s">
        <v>50</v>
      </c>
      <c r="I168" s="191"/>
      <c r="J168" s="258" t="s">
        <v>45</v>
      </c>
      <c r="K168" s="259"/>
      <c r="L168" s="259"/>
      <c r="M168" s="260"/>
    </row>
    <row r="169" spans="1:13" ht="24.95" customHeight="1" thickBot="1" x14ac:dyDescent="0.35">
      <c r="A169" s="111">
        <v>7</v>
      </c>
      <c r="B169" s="101"/>
      <c r="C169" s="103" t="s">
        <v>42</v>
      </c>
      <c r="D169" s="68"/>
      <c r="E169" s="68"/>
      <c r="F169" s="69" t="str">
        <f t="shared" si="27"/>
        <v>0</v>
      </c>
      <c r="G169" s="71">
        <f t="shared" si="28"/>
        <v>0</v>
      </c>
      <c r="H169" s="16"/>
      <c r="I169" s="12"/>
      <c r="J169" s="48"/>
      <c r="K169" s="261" t="s">
        <v>64</v>
      </c>
      <c r="L169" s="261"/>
      <c r="M169" s="262"/>
    </row>
    <row r="170" spans="1:13" ht="24.95" customHeight="1" thickBot="1" x14ac:dyDescent="0.3">
      <c r="A170" s="111">
        <v>8</v>
      </c>
      <c r="B170" s="101"/>
      <c r="C170" s="103" t="s">
        <v>43</v>
      </c>
      <c r="D170" s="68"/>
      <c r="E170" s="68"/>
      <c r="F170" s="69" t="str">
        <f t="shared" si="27"/>
        <v>0</v>
      </c>
      <c r="G170" s="71">
        <f t="shared" si="28"/>
        <v>0</v>
      </c>
      <c r="H170" s="20"/>
      <c r="I170" s="12"/>
    </row>
    <row r="171" spans="1:13" ht="35.1" customHeight="1" thickBot="1" x14ac:dyDescent="0.45">
      <c r="A171" s="119"/>
      <c r="B171" s="96"/>
      <c r="C171" s="95" t="s">
        <v>20</v>
      </c>
      <c r="D171" s="120">
        <f>SUM(D163:D170)</f>
        <v>8</v>
      </c>
      <c r="E171" s="96"/>
      <c r="F171" s="96"/>
      <c r="G171" s="97">
        <f>SUM(G163:G170)</f>
        <v>0</v>
      </c>
      <c r="H171" s="87" t="s">
        <v>33</v>
      </c>
      <c r="I171" s="92">
        <f>SUM(G171/D171)</f>
        <v>0</v>
      </c>
    </row>
    <row r="172" spans="1:13" ht="35.1" customHeight="1" thickTop="1" thickBot="1" x14ac:dyDescent="0.45">
      <c r="A172" s="116"/>
      <c r="B172" s="29"/>
      <c r="C172" s="159"/>
      <c r="D172" s="160"/>
      <c r="E172" s="29"/>
      <c r="F172" s="29"/>
      <c r="G172" s="160"/>
      <c r="H172" s="158" t="s">
        <v>36</v>
      </c>
      <c r="I172" s="125">
        <f>(G160+G171)/(D160+D171)</f>
        <v>0</v>
      </c>
    </row>
    <row r="173" spans="1:13" ht="24.95" customHeight="1" thickTop="1" x14ac:dyDescent="0.4">
      <c r="A173" s="116"/>
      <c r="B173" s="29"/>
      <c r="C173" s="159"/>
      <c r="D173" s="160"/>
      <c r="E173" s="184" t="s">
        <v>94</v>
      </c>
      <c r="F173" s="185"/>
      <c r="G173" s="169"/>
      <c r="H173" s="170"/>
      <c r="I173" s="171"/>
    </row>
    <row r="174" spans="1:13" ht="24.95" customHeight="1" thickBot="1" x14ac:dyDescent="0.45">
      <c r="A174" s="116"/>
      <c r="B174" s="29"/>
      <c r="C174" s="159"/>
      <c r="D174" s="160"/>
      <c r="E174" s="186"/>
      <c r="F174" s="187"/>
      <c r="G174" s="172"/>
      <c r="H174" s="173"/>
      <c r="I174" s="174"/>
    </row>
    <row r="175" spans="1:13" ht="24.95" customHeight="1" thickTop="1" x14ac:dyDescent="0.4">
      <c r="A175" s="116"/>
      <c r="B175" s="29"/>
      <c r="C175" s="159"/>
      <c r="D175" s="160"/>
      <c r="E175" s="184" t="s">
        <v>95</v>
      </c>
      <c r="F175" s="185"/>
      <c r="G175" s="175"/>
      <c r="H175" s="176"/>
      <c r="I175" s="177"/>
    </row>
    <row r="176" spans="1:13" ht="24.95" customHeight="1" thickBot="1" x14ac:dyDescent="0.45">
      <c r="A176" s="136"/>
      <c r="B176" s="123"/>
      <c r="C176" s="163"/>
      <c r="D176" s="164"/>
      <c r="E176" s="186"/>
      <c r="F176" s="187"/>
      <c r="G176" s="178"/>
      <c r="H176" s="179"/>
      <c r="I176" s="180"/>
    </row>
    <row r="177" spans="1:9" ht="24.95" customHeight="1" thickTop="1" x14ac:dyDescent="0.4">
      <c r="A177" s="116"/>
      <c r="B177" s="29"/>
      <c r="C177" s="159"/>
      <c r="D177" s="160"/>
      <c r="E177" s="29"/>
      <c r="F177" s="29"/>
      <c r="G177" s="160"/>
      <c r="H177" s="127"/>
      <c r="I177" s="162"/>
    </row>
    <row r="178" spans="1:9" ht="24.95" customHeight="1" thickBot="1" x14ac:dyDescent="0.3">
      <c r="A178" s="138"/>
      <c r="B178" s="124"/>
      <c r="C178" s="124"/>
      <c r="D178" s="124"/>
      <c r="E178" s="161"/>
      <c r="F178" s="27"/>
      <c r="G178" s="27"/>
      <c r="H178" s="196"/>
      <c r="I178" s="196"/>
    </row>
    <row r="179" spans="1:9" ht="24.95" customHeight="1" thickTop="1" thickBot="1" x14ac:dyDescent="0.3">
      <c r="A179" s="16"/>
      <c r="B179" s="2"/>
      <c r="C179" s="2"/>
      <c r="D179" s="2"/>
      <c r="E179" s="27"/>
      <c r="F179" s="243" t="s">
        <v>93</v>
      </c>
      <c r="G179" s="244"/>
      <c r="H179" s="197"/>
      <c r="I179" s="198"/>
    </row>
    <row r="180" spans="1:9" ht="24.95" customHeight="1" thickBot="1" x14ac:dyDescent="0.3">
      <c r="A180" s="16"/>
      <c r="B180" s="2"/>
      <c r="C180" s="2"/>
      <c r="D180" s="2"/>
      <c r="E180" s="27"/>
      <c r="F180" s="200" t="s">
        <v>92</v>
      </c>
      <c r="G180" s="201"/>
      <c r="H180" s="199"/>
      <c r="I180" s="167"/>
    </row>
    <row r="181" spans="1:9" ht="24.95" customHeight="1" thickBot="1" x14ac:dyDescent="0.3">
      <c r="A181" s="20"/>
      <c r="B181" s="2"/>
      <c r="C181" s="2"/>
      <c r="D181" s="2"/>
      <c r="E181" s="129"/>
      <c r="F181" s="200" t="s">
        <v>91</v>
      </c>
      <c r="G181" s="201"/>
      <c r="H181" s="168"/>
      <c r="I181" s="167"/>
    </row>
    <row r="182" spans="1:9" ht="35.1" customHeight="1" thickBot="1" x14ac:dyDescent="0.3">
      <c r="A182" s="221" t="s">
        <v>98</v>
      </c>
      <c r="B182" s="222"/>
      <c r="C182" s="2"/>
      <c r="D182" s="2"/>
      <c r="E182" s="27"/>
      <c r="F182" s="27"/>
      <c r="G182" s="51"/>
      <c r="H182" s="206"/>
      <c r="I182" s="207"/>
    </row>
    <row r="183" spans="1:9" ht="35.1" customHeight="1" thickBot="1" x14ac:dyDescent="0.3">
      <c r="A183" s="110" t="s">
        <v>6</v>
      </c>
      <c r="B183" s="62" t="s">
        <v>0</v>
      </c>
      <c r="C183" s="62" t="s">
        <v>1</v>
      </c>
      <c r="D183" s="65" t="s">
        <v>2</v>
      </c>
      <c r="E183" s="62" t="s">
        <v>3</v>
      </c>
      <c r="F183" s="65" t="s">
        <v>4</v>
      </c>
      <c r="G183" s="67" t="s">
        <v>5</v>
      </c>
      <c r="H183" s="194" t="s">
        <v>46</v>
      </c>
      <c r="I183" s="195"/>
    </row>
    <row r="184" spans="1:9" ht="24.95" customHeight="1" thickBot="1" x14ac:dyDescent="0.3">
      <c r="A184" s="111">
        <v>1</v>
      </c>
      <c r="B184" s="101" t="s">
        <v>189</v>
      </c>
      <c r="C184" s="103" t="s">
        <v>190</v>
      </c>
      <c r="D184" s="68">
        <v>2</v>
      </c>
      <c r="E184" s="68"/>
      <c r="F184" s="69" t="s">
        <v>188</v>
      </c>
      <c r="G184" s="70">
        <v>0</v>
      </c>
      <c r="H184" s="202" t="s">
        <v>47</v>
      </c>
      <c r="I184" s="193"/>
    </row>
    <row r="185" spans="1:9" ht="24.95" customHeight="1" thickBot="1" x14ac:dyDescent="0.3">
      <c r="A185" s="111">
        <v>2</v>
      </c>
      <c r="B185" s="101" t="s">
        <v>191</v>
      </c>
      <c r="C185" s="103" t="s">
        <v>192</v>
      </c>
      <c r="D185" s="68">
        <v>2</v>
      </c>
      <c r="E185" s="68"/>
      <c r="F185" s="69" t="s">
        <v>188</v>
      </c>
      <c r="G185" s="70">
        <v>0</v>
      </c>
      <c r="H185" s="203" t="s">
        <v>48</v>
      </c>
      <c r="I185" s="189"/>
    </row>
    <row r="186" spans="1:9" ht="24.95" customHeight="1" thickBot="1" x14ac:dyDescent="0.3">
      <c r="A186" s="111">
        <v>3</v>
      </c>
      <c r="B186" s="101" t="s">
        <v>193</v>
      </c>
      <c r="C186" s="103" t="s">
        <v>194</v>
      </c>
      <c r="D186" s="68">
        <v>3</v>
      </c>
      <c r="E186" s="68"/>
      <c r="F186" s="69" t="s">
        <v>188</v>
      </c>
      <c r="G186" s="70">
        <v>0</v>
      </c>
      <c r="H186" s="188" t="s">
        <v>49</v>
      </c>
      <c r="I186" s="189"/>
    </row>
    <row r="187" spans="1:9" ht="24.95" customHeight="1" thickBot="1" x14ac:dyDescent="0.3">
      <c r="A187" s="111">
        <v>4</v>
      </c>
      <c r="B187" s="101" t="s">
        <v>195</v>
      </c>
      <c r="C187" s="103" t="s">
        <v>196</v>
      </c>
      <c r="D187" s="68">
        <v>2</v>
      </c>
      <c r="E187" s="68"/>
      <c r="F187" s="69" t="s">
        <v>188</v>
      </c>
      <c r="G187" s="71">
        <v>0</v>
      </c>
      <c r="H187" s="188" t="s">
        <v>52</v>
      </c>
      <c r="I187" s="189"/>
    </row>
    <row r="188" spans="1:9" ht="24.95" customHeight="1" thickBot="1" x14ac:dyDescent="0.3">
      <c r="A188" s="111">
        <v>5</v>
      </c>
      <c r="B188" s="101" t="s">
        <v>197</v>
      </c>
      <c r="C188" s="103" t="s">
        <v>198</v>
      </c>
      <c r="D188" s="68">
        <v>2</v>
      </c>
      <c r="E188" s="68"/>
      <c r="F188" s="69" t="s">
        <v>188</v>
      </c>
      <c r="G188" s="71">
        <v>0</v>
      </c>
      <c r="H188" s="188" t="s">
        <v>51</v>
      </c>
      <c r="I188" s="189"/>
    </row>
    <row r="189" spans="1:9" ht="24.95" customHeight="1" thickBot="1" x14ac:dyDescent="0.3">
      <c r="A189" s="111">
        <v>6</v>
      </c>
      <c r="B189" s="101"/>
      <c r="C189" s="103" t="s">
        <v>40</v>
      </c>
      <c r="D189" s="68"/>
      <c r="E189" s="68"/>
      <c r="F189" s="69" t="s">
        <v>188</v>
      </c>
      <c r="G189" s="71">
        <v>0</v>
      </c>
      <c r="H189" s="190" t="s">
        <v>50</v>
      </c>
      <c r="I189" s="191"/>
    </row>
    <row r="190" spans="1:9" ht="24.95" customHeight="1" thickBot="1" x14ac:dyDescent="0.3">
      <c r="A190" s="111">
        <v>7</v>
      </c>
      <c r="B190" s="101"/>
      <c r="C190" s="103" t="s">
        <v>41</v>
      </c>
      <c r="D190" s="68"/>
      <c r="E190" s="68"/>
      <c r="F190" s="69" t="s">
        <v>188</v>
      </c>
      <c r="G190" s="71">
        <v>0</v>
      </c>
      <c r="H190" s="16"/>
      <c r="I190" s="12"/>
    </row>
    <row r="191" spans="1:9" ht="24.95" customHeight="1" thickBot="1" x14ac:dyDescent="0.3">
      <c r="A191" s="111">
        <v>8</v>
      </c>
      <c r="B191" s="101"/>
      <c r="C191" s="103" t="s">
        <v>42</v>
      </c>
      <c r="D191" s="68"/>
      <c r="E191" s="68"/>
      <c r="F191" s="69" t="s">
        <v>188</v>
      </c>
      <c r="G191" s="70">
        <v>0</v>
      </c>
      <c r="H191" s="16"/>
      <c r="I191" s="12"/>
    </row>
    <row r="192" spans="1:9" ht="35.1" customHeight="1" thickBot="1" x14ac:dyDescent="0.45">
      <c r="A192" s="115"/>
      <c r="B192" s="50"/>
      <c r="C192" s="84" t="s">
        <v>20</v>
      </c>
      <c r="D192" s="85">
        <f>SUM(D184:D191)</f>
        <v>11</v>
      </c>
      <c r="E192" s="93"/>
      <c r="F192" s="83"/>
      <c r="G192" s="94">
        <v>0</v>
      </c>
      <c r="H192" s="87" t="s">
        <v>33</v>
      </c>
      <c r="I192" s="92">
        <f>SUM(G192/D192)</f>
        <v>0</v>
      </c>
    </row>
    <row r="193" spans="1:9" ht="35.1" customHeight="1" thickBot="1" x14ac:dyDescent="0.3">
      <c r="A193" s="221" t="s">
        <v>99</v>
      </c>
      <c r="B193" s="222"/>
      <c r="C193" s="2"/>
      <c r="D193" s="3"/>
      <c r="E193" s="52"/>
      <c r="F193" s="27"/>
      <c r="G193" s="27"/>
    </row>
    <row r="194" spans="1:9" ht="35.1" customHeight="1" thickBot="1" x14ac:dyDescent="0.3">
      <c r="A194" s="110" t="s">
        <v>6</v>
      </c>
      <c r="B194" s="62" t="s">
        <v>0</v>
      </c>
      <c r="C194" s="62" t="s">
        <v>1</v>
      </c>
      <c r="D194" s="65" t="s">
        <v>2</v>
      </c>
      <c r="E194" s="62" t="s">
        <v>3</v>
      </c>
      <c r="F194" s="65" t="s">
        <v>4</v>
      </c>
      <c r="G194" s="67" t="s">
        <v>5</v>
      </c>
      <c r="H194" s="194" t="s">
        <v>46</v>
      </c>
      <c r="I194" s="195"/>
    </row>
    <row r="195" spans="1:9" ht="24.95" customHeight="1" thickBot="1" x14ac:dyDescent="0.3">
      <c r="A195" s="111">
        <v>1</v>
      </c>
      <c r="B195" s="101" t="s">
        <v>199</v>
      </c>
      <c r="C195" s="103" t="s">
        <v>34</v>
      </c>
      <c r="D195" s="68">
        <v>6</v>
      </c>
      <c r="E195" s="68"/>
      <c r="F195" s="69" t="s">
        <v>188</v>
      </c>
      <c r="G195" s="70">
        <v>0</v>
      </c>
      <c r="H195" s="202" t="s">
        <v>47</v>
      </c>
      <c r="I195" s="193"/>
    </row>
    <row r="196" spans="1:9" ht="24.95" customHeight="1" thickBot="1" x14ac:dyDescent="0.3">
      <c r="A196" s="111">
        <v>2</v>
      </c>
      <c r="B196" s="101"/>
      <c r="C196" s="103"/>
      <c r="D196" s="68"/>
      <c r="E196" s="68"/>
      <c r="F196" s="69" t="s">
        <v>188</v>
      </c>
      <c r="G196" s="70">
        <v>0</v>
      </c>
      <c r="H196" s="203" t="s">
        <v>48</v>
      </c>
      <c r="I196" s="189"/>
    </row>
    <row r="197" spans="1:9" ht="24.95" customHeight="1" thickBot="1" x14ac:dyDescent="0.3">
      <c r="A197" s="111">
        <v>3</v>
      </c>
      <c r="B197" s="101"/>
      <c r="C197" s="103"/>
      <c r="D197" s="68"/>
      <c r="E197" s="68"/>
      <c r="F197" s="69" t="s">
        <v>188</v>
      </c>
      <c r="G197" s="71">
        <v>0</v>
      </c>
      <c r="H197" s="188" t="s">
        <v>49</v>
      </c>
      <c r="I197" s="189"/>
    </row>
    <row r="198" spans="1:9" ht="24.95" customHeight="1" thickBot="1" x14ac:dyDescent="0.3">
      <c r="A198" s="111">
        <v>4</v>
      </c>
      <c r="B198" s="101"/>
      <c r="C198" s="103"/>
      <c r="D198" s="68"/>
      <c r="E198" s="68"/>
      <c r="F198" s="69" t="s">
        <v>188</v>
      </c>
      <c r="G198" s="71">
        <v>0</v>
      </c>
      <c r="H198" s="188" t="s">
        <v>52</v>
      </c>
      <c r="I198" s="189"/>
    </row>
    <row r="199" spans="1:9" ht="24.95" customHeight="1" thickBot="1" x14ac:dyDescent="0.3">
      <c r="A199" s="111">
        <v>5</v>
      </c>
      <c r="B199" s="101"/>
      <c r="C199" s="103"/>
      <c r="D199" s="68"/>
      <c r="E199" s="68"/>
      <c r="F199" s="69" t="s">
        <v>188</v>
      </c>
      <c r="G199" s="71">
        <v>0</v>
      </c>
      <c r="H199" s="188" t="s">
        <v>51</v>
      </c>
      <c r="I199" s="189"/>
    </row>
    <row r="200" spans="1:9" ht="24.95" customHeight="1" thickBot="1" x14ac:dyDescent="0.3">
      <c r="A200" s="111">
        <v>6</v>
      </c>
      <c r="B200" s="101"/>
      <c r="C200" s="103"/>
      <c r="D200" s="68"/>
      <c r="E200" s="68"/>
      <c r="F200" s="69" t="s">
        <v>188</v>
      </c>
      <c r="G200" s="71">
        <v>0</v>
      </c>
      <c r="H200" s="190" t="s">
        <v>50</v>
      </c>
      <c r="I200" s="191"/>
    </row>
    <row r="201" spans="1:9" ht="24.95" customHeight="1" thickBot="1" x14ac:dyDescent="0.3">
      <c r="A201" s="111">
        <v>7</v>
      </c>
      <c r="B201" s="101"/>
      <c r="C201" s="104"/>
      <c r="D201" s="68"/>
      <c r="E201" s="68"/>
      <c r="F201" s="69" t="s">
        <v>188</v>
      </c>
      <c r="G201" s="70">
        <v>0</v>
      </c>
      <c r="H201" s="190"/>
      <c r="I201" s="191"/>
    </row>
    <row r="202" spans="1:9" ht="24.95" customHeight="1" thickBot="1" x14ac:dyDescent="0.3">
      <c r="A202" s="111">
        <v>8</v>
      </c>
      <c r="B202" s="101"/>
      <c r="C202" s="103"/>
      <c r="D202" s="68"/>
      <c r="E202" s="68"/>
      <c r="F202" s="69" t="s">
        <v>188</v>
      </c>
      <c r="G202" s="71">
        <v>0</v>
      </c>
      <c r="H202" s="16"/>
      <c r="I202" s="12"/>
    </row>
    <row r="203" spans="1:9" ht="35.1" customHeight="1" thickBot="1" x14ac:dyDescent="0.45">
      <c r="A203" s="119"/>
      <c r="B203" s="96"/>
      <c r="C203" s="95" t="s">
        <v>20</v>
      </c>
      <c r="D203" s="120">
        <f>SUM(D195:D202)</f>
        <v>6</v>
      </c>
      <c r="E203" s="96"/>
      <c r="F203" s="96"/>
      <c r="G203" s="97">
        <v>0</v>
      </c>
      <c r="H203" s="87" t="s">
        <v>33</v>
      </c>
      <c r="I203" s="92">
        <f>SUM(G203/D203)</f>
        <v>0</v>
      </c>
    </row>
    <row r="204" spans="1:9" ht="24.95" customHeight="1" thickTop="1" thickBot="1" x14ac:dyDescent="0.3">
      <c r="A204" s="112"/>
      <c r="B204" s="2"/>
      <c r="C204" s="2"/>
      <c r="D204" s="2"/>
      <c r="E204" s="27"/>
      <c r="F204" s="27"/>
      <c r="G204" s="27"/>
      <c r="H204" s="121" t="s">
        <v>100</v>
      </c>
      <c r="I204" s="125">
        <f>(G192+G203)/(D192+D203)</f>
        <v>0</v>
      </c>
    </row>
    <row r="205" spans="1:9" ht="24.95" customHeight="1" thickTop="1" thickBot="1" x14ac:dyDescent="0.3">
      <c r="A205" s="16"/>
      <c r="B205" s="2"/>
      <c r="C205" s="2"/>
      <c r="D205" s="2"/>
      <c r="E205" s="27"/>
      <c r="F205" s="27"/>
      <c r="G205" s="27"/>
      <c r="H205" s="36"/>
      <c r="I205" s="147"/>
    </row>
    <row r="206" spans="1:9" ht="24.95" customHeight="1" thickTop="1" thickBot="1" x14ac:dyDescent="0.3">
      <c r="A206" s="16"/>
      <c r="B206" s="2"/>
      <c r="C206" s="2"/>
      <c r="D206" s="12"/>
      <c r="E206" s="130" t="s">
        <v>102</v>
      </c>
      <c r="F206" s="132">
        <f>SUM(G27+G37+G60+G72+G93+G106+G127+G140+G160+G171+G192+G203)</f>
        <v>0</v>
      </c>
      <c r="G206" s="108"/>
      <c r="H206" s="2"/>
      <c r="I206" s="12"/>
    </row>
    <row r="207" spans="1:9" ht="24.95" customHeight="1" thickBot="1" x14ac:dyDescent="0.3">
      <c r="A207" s="16"/>
      <c r="B207" s="2"/>
      <c r="C207" s="2"/>
      <c r="D207" s="2"/>
      <c r="E207" s="131" t="s">
        <v>101</v>
      </c>
      <c r="F207" s="133">
        <f>SUM(D27+D37+D60+D72+D93+D106+D127+D140+D160+D171+D192+D203)</f>
        <v>147</v>
      </c>
      <c r="G207" s="108"/>
      <c r="H207" s="2"/>
      <c r="I207" s="12"/>
    </row>
    <row r="208" spans="1:9" ht="24.95" customHeight="1" thickTop="1" thickBot="1" x14ac:dyDescent="0.3">
      <c r="A208" s="16"/>
      <c r="B208" s="251" t="s">
        <v>79</v>
      </c>
      <c r="C208" s="251"/>
      <c r="D208" s="2"/>
      <c r="E208" s="27"/>
      <c r="F208" s="27"/>
      <c r="G208" s="27"/>
      <c r="H208" s="27"/>
      <c r="I208" s="165"/>
    </row>
    <row r="209" spans="1:9" ht="33.75" customHeight="1" thickTop="1" thickBot="1" x14ac:dyDescent="0.3">
      <c r="A209" s="16"/>
      <c r="B209" s="23" t="s">
        <v>65</v>
      </c>
      <c r="C209" s="38" t="s">
        <v>66</v>
      </c>
      <c r="D209" s="33"/>
      <c r="E209" s="238" t="s">
        <v>96</v>
      </c>
      <c r="F209" s="239"/>
      <c r="G209" s="240"/>
      <c r="H209" s="256">
        <f>(G27+G37+G60+G72+G93+G106+G127+G140+G160+G171+G192+G203)/(D27+D37+D60+D72+D93+D106+D127+D140+D160+D171+D192+D203)</f>
        <v>0</v>
      </c>
      <c r="I209" s="257"/>
    </row>
    <row r="210" spans="1:9" ht="20.100000000000001" customHeight="1" thickTop="1" thickBot="1" x14ac:dyDescent="0.3">
      <c r="A210" s="108"/>
      <c r="B210" s="24" t="s">
        <v>67</v>
      </c>
      <c r="C210" s="39" t="s">
        <v>68</v>
      </c>
      <c r="D210" s="41"/>
      <c r="E210" s="232" t="s">
        <v>97</v>
      </c>
      <c r="F210" s="233"/>
      <c r="G210" s="234"/>
      <c r="H210" s="252" t="str">
        <f>IF(H209&gt;=4.5,"1st Class",IF(H209&gt;=3.5,"2nd Class Upper",IF(H209&gt;=2.4,"2nd Class Lower",IF(H209&gt;=1.5,"3rd Class",IF(H209&gt;=1,"Pass",IF(H209&lt;=0.99,"Fail"))))))</f>
        <v>Fail</v>
      </c>
      <c r="I210" s="253"/>
    </row>
    <row r="211" spans="1:9" ht="20.100000000000001" customHeight="1" thickBot="1" x14ac:dyDescent="0.3">
      <c r="A211" s="108"/>
      <c r="B211" s="24" t="s">
        <v>69</v>
      </c>
      <c r="C211" s="40" t="s">
        <v>74</v>
      </c>
      <c r="D211" s="41"/>
      <c r="E211" s="235"/>
      <c r="F211" s="236"/>
      <c r="G211" s="237"/>
      <c r="H211" s="254"/>
      <c r="I211" s="255"/>
    </row>
    <row r="212" spans="1:9" ht="20.100000000000001" customHeight="1" thickTop="1" thickBot="1" x14ac:dyDescent="0.3">
      <c r="A212" s="108"/>
      <c r="B212" s="24" t="s">
        <v>70</v>
      </c>
      <c r="C212" s="40" t="s">
        <v>78</v>
      </c>
      <c r="D212" s="41"/>
      <c r="E212" s="184" t="s">
        <v>94</v>
      </c>
      <c r="F212" s="185"/>
      <c r="G212" s="169"/>
      <c r="H212" s="170"/>
      <c r="I212" s="171"/>
    </row>
    <row r="213" spans="1:9" ht="20.100000000000001" customHeight="1" thickBot="1" x14ac:dyDescent="0.3">
      <c r="A213" s="108"/>
      <c r="B213" s="24" t="s">
        <v>71</v>
      </c>
      <c r="C213" s="40" t="s">
        <v>75</v>
      </c>
      <c r="D213" s="41"/>
      <c r="E213" s="186"/>
      <c r="F213" s="187"/>
      <c r="G213" s="172"/>
      <c r="H213" s="173"/>
      <c r="I213" s="174"/>
    </row>
    <row r="214" spans="1:9" ht="20.100000000000001" customHeight="1" thickTop="1" thickBot="1" x14ac:dyDescent="0.3">
      <c r="A214" s="108"/>
      <c r="B214" s="24" t="s">
        <v>72</v>
      </c>
      <c r="C214" s="40" t="s">
        <v>76</v>
      </c>
      <c r="D214" s="41"/>
      <c r="E214" s="184" t="s">
        <v>95</v>
      </c>
      <c r="F214" s="185"/>
      <c r="G214" s="175"/>
      <c r="H214" s="176"/>
      <c r="I214" s="177"/>
    </row>
    <row r="215" spans="1:9" ht="20.100000000000001" customHeight="1" thickBot="1" x14ac:dyDescent="0.3">
      <c r="A215" s="113"/>
      <c r="B215" s="42" t="s">
        <v>73</v>
      </c>
      <c r="C215" s="43" t="s">
        <v>77</v>
      </c>
      <c r="D215" s="44"/>
      <c r="E215" s="186"/>
      <c r="F215" s="187"/>
      <c r="G215" s="178"/>
      <c r="H215" s="179"/>
      <c r="I215" s="180"/>
    </row>
    <row r="216" spans="1:9" ht="35.1" customHeight="1" thickTop="1" thickBot="1" x14ac:dyDescent="0.3">
      <c r="A216" s="114"/>
      <c r="B216" s="98"/>
      <c r="C216" s="98"/>
      <c r="D216" s="98"/>
      <c r="E216" s="98"/>
      <c r="F216" s="98"/>
      <c r="G216" s="98"/>
      <c r="H216" s="99"/>
      <c r="I216" s="100"/>
    </row>
    <row r="217" spans="1:9" ht="15.75" thickTop="1" x14ac:dyDescent="0.25">
      <c r="E217" s="229" t="s">
        <v>44</v>
      </c>
      <c r="F217" s="230"/>
      <c r="G217" s="231"/>
    </row>
    <row r="218" spans="1:9" x14ac:dyDescent="0.25">
      <c r="D218" s="26"/>
      <c r="E218" s="226" t="s">
        <v>45</v>
      </c>
      <c r="F218" s="227"/>
      <c r="G218" s="228"/>
    </row>
    <row r="219" spans="1:9" ht="19.5" thickBot="1" x14ac:dyDescent="0.35">
      <c r="D219" s="26"/>
      <c r="E219" s="35"/>
      <c r="F219" s="224" t="s">
        <v>64</v>
      </c>
      <c r="G219" s="225"/>
    </row>
    <row r="220" spans="1:9" ht="15.75" thickTop="1" x14ac:dyDescent="0.25">
      <c r="E220" s="22"/>
      <c r="F220" s="22"/>
      <c r="G220" s="22"/>
    </row>
  </sheetData>
  <mergeCells count="188">
    <mergeCell ref="H210:I211"/>
    <mergeCell ref="G212:I213"/>
    <mergeCell ref="G214:I215"/>
    <mergeCell ref="H209:I209"/>
    <mergeCell ref="J58:M58"/>
    <mergeCell ref="K59:M59"/>
    <mergeCell ref="J57:M57"/>
    <mergeCell ref="J167:M167"/>
    <mergeCell ref="J168:M168"/>
    <mergeCell ref="K169:M169"/>
    <mergeCell ref="H62:I62"/>
    <mergeCell ref="H96:I96"/>
    <mergeCell ref="H97:I97"/>
    <mergeCell ref="H98:I98"/>
    <mergeCell ref="H157:I157"/>
    <mergeCell ref="H99:I99"/>
    <mergeCell ref="H100:I100"/>
    <mergeCell ref="H101:I101"/>
    <mergeCell ref="A94:B94"/>
    <mergeCell ref="H133:I133"/>
    <mergeCell ref="G110:I111"/>
    <mergeCell ref="H129:I129"/>
    <mergeCell ref="H130:I130"/>
    <mergeCell ref="H131:I131"/>
    <mergeCell ref="H132:I132"/>
    <mergeCell ref="H135:I135"/>
    <mergeCell ref="G142:I143"/>
    <mergeCell ref="H147:I147"/>
    <mergeCell ref="H87:I87"/>
    <mergeCell ref="H88:I88"/>
    <mergeCell ref="H89:I89"/>
    <mergeCell ref="H90:I90"/>
    <mergeCell ref="H119:I119"/>
    <mergeCell ref="H120:I120"/>
    <mergeCell ref="H121:I121"/>
    <mergeCell ref="H122:I122"/>
    <mergeCell ref="H123:I123"/>
    <mergeCell ref="H124:I124"/>
    <mergeCell ref="H134:I134"/>
    <mergeCell ref="G144:I145"/>
    <mergeCell ref="A161:B161"/>
    <mergeCell ref="B208:C208"/>
    <mergeCell ref="H153:I153"/>
    <mergeCell ref="H196:I196"/>
    <mergeCell ref="H197:I197"/>
    <mergeCell ref="H198:I198"/>
    <mergeCell ref="H199:I199"/>
    <mergeCell ref="H195:I195"/>
    <mergeCell ref="H150:I150"/>
    <mergeCell ref="H201:I201"/>
    <mergeCell ref="H186:I186"/>
    <mergeCell ref="H187:I187"/>
    <mergeCell ref="H182:I182"/>
    <mergeCell ref="H183:I183"/>
    <mergeCell ref="H184:I184"/>
    <mergeCell ref="H154:I154"/>
    <mergeCell ref="H155:I155"/>
    <mergeCell ref="H156:I156"/>
    <mergeCell ref="A151:B151"/>
    <mergeCell ref="A83:B83"/>
    <mergeCell ref="H148:I148"/>
    <mergeCell ref="H149:I149"/>
    <mergeCell ref="A48:B48"/>
    <mergeCell ref="A61:B61"/>
    <mergeCell ref="A12:B12"/>
    <mergeCell ref="F13:G13"/>
    <mergeCell ref="F14:G14"/>
    <mergeCell ref="A117:B117"/>
    <mergeCell ref="A128:B128"/>
    <mergeCell ref="A14:B14"/>
    <mergeCell ref="H31:I31"/>
    <mergeCell ref="H32:I32"/>
    <mergeCell ref="A15:B15"/>
    <mergeCell ref="A28:B28"/>
    <mergeCell ref="A18:B18"/>
    <mergeCell ref="H12:I12"/>
    <mergeCell ref="H13:I13"/>
    <mergeCell ref="H14:I14"/>
    <mergeCell ref="H20:I20"/>
    <mergeCell ref="H21:I21"/>
    <mergeCell ref="H22:I22"/>
    <mergeCell ref="H25:I25"/>
    <mergeCell ref="H23:I23"/>
    <mergeCell ref="F219:G219"/>
    <mergeCell ref="E218:G218"/>
    <mergeCell ref="E217:G217"/>
    <mergeCell ref="E210:G211"/>
    <mergeCell ref="E209:G209"/>
    <mergeCell ref="F80:G80"/>
    <mergeCell ref="F81:G81"/>
    <mergeCell ref="F82:G82"/>
    <mergeCell ref="F114:G114"/>
    <mergeCell ref="F115:G115"/>
    <mergeCell ref="F116:G116"/>
    <mergeCell ref="F148:G148"/>
    <mergeCell ref="F149:G149"/>
    <mergeCell ref="F150:G150"/>
    <mergeCell ref="F179:G179"/>
    <mergeCell ref="E144:F145"/>
    <mergeCell ref="E108:F109"/>
    <mergeCell ref="E110:F111"/>
    <mergeCell ref="E142:F143"/>
    <mergeCell ref="E173:F174"/>
    <mergeCell ref="G173:I174"/>
    <mergeCell ref="E175:F176"/>
    <mergeCell ref="G175:I176"/>
    <mergeCell ref="H185:I185"/>
    <mergeCell ref="C6:G6"/>
    <mergeCell ref="H66:I66"/>
    <mergeCell ref="H67:I67"/>
    <mergeCell ref="H68:I68"/>
    <mergeCell ref="H85:I85"/>
    <mergeCell ref="H86:I86"/>
    <mergeCell ref="H84:I84"/>
    <mergeCell ref="H33:I33"/>
    <mergeCell ref="H34:I34"/>
    <mergeCell ref="H35:I35"/>
    <mergeCell ref="H50:I50"/>
    <mergeCell ref="H51:I51"/>
    <mergeCell ref="H52:I52"/>
    <mergeCell ref="H53:I53"/>
    <mergeCell ref="H19:I19"/>
    <mergeCell ref="H64:I64"/>
    <mergeCell ref="H65:I65"/>
    <mergeCell ref="H30:I30"/>
    <mergeCell ref="E74:F75"/>
    <mergeCell ref="E76:F77"/>
    <mergeCell ref="F46:G46"/>
    <mergeCell ref="F47:G47"/>
    <mergeCell ref="E39:F40"/>
    <mergeCell ref="E41:F42"/>
    <mergeCell ref="G39:I40"/>
    <mergeCell ref="G41:I42"/>
    <mergeCell ref="H151:I151"/>
    <mergeCell ref="H152:I152"/>
    <mergeCell ref="H200:I200"/>
    <mergeCell ref="H188:I188"/>
    <mergeCell ref="H189:I189"/>
    <mergeCell ref="H194:I194"/>
    <mergeCell ref="A1:I5"/>
    <mergeCell ref="H113:I113"/>
    <mergeCell ref="H48:I48"/>
    <mergeCell ref="H24:I24"/>
    <mergeCell ref="A13:B13"/>
    <mergeCell ref="A16:B16"/>
    <mergeCell ref="F12:G12"/>
    <mergeCell ref="C7:G7"/>
    <mergeCell ref="C8:G8"/>
    <mergeCell ref="H29:I29"/>
    <mergeCell ref="H49:I49"/>
    <mergeCell ref="F11:H11"/>
    <mergeCell ref="F45:G45"/>
    <mergeCell ref="A193:B193"/>
    <mergeCell ref="A182:B182"/>
    <mergeCell ref="H181:I181"/>
    <mergeCell ref="E212:F213"/>
    <mergeCell ref="E214:F215"/>
    <mergeCell ref="H54:I54"/>
    <mergeCell ref="H55:I55"/>
    <mergeCell ref="H63:I63"/>
    <mergeCell ref="H114:I114"/>
    <mergeCell ref="H115:I115"/>
    <mergeCell ref="H116:I116"/>
    <mergeCell ref="H95:I95"/>
    <mergeCell ref="H118:I118"/>
    <mergeCell ref="H165:I165"/>
    <mergeCell ref="H166:I166"/>
    <mergeCell ref="H167:I167"/>
    <mergeCell ref="H168:I168"/>
    <mergeCell ref="H178:I178"/>
    <mergeCell ref="H179:I179"/>
    <mergeCell ref="H180:I180"/>
    <mergeCell ref="H158:I158"/>
    <mergeCell ref="F180:G180"/>
    <mergeCell ref="H159:I159"/>
    <mergeCell ref="F181:G181"/>
    <mergeCell ref="H162:I162"/>
    <mergeCell ref="H163:I163"/>
    <mergeCell ref="H164:I164"/>
    <mergeCell ref="H45:I45"/>
    <mergeCell ref="H46:I46"/>
    <mergeCell ref="H47:I47"/>
    <mergeCell ref="G74:I75"/>
    <mergeCell ref="G76:I77"/>
    <mergeCell ref="H80:I80"/>
    <mergeCell ref="H81:I81"/>
    <mergeCell ref="H82:I82"/>
    <mergeCell ref="G108:I109"/>
  </mergeCells>
  <printOptions horizontalCentered="1"/>
  <pageMargins left="0.7" right="0.7" top="0.75" bottom="0.75" header="0.3" footer="0.3"/>
  <pageSetup paperSize="9" scale="57" orientation="portrait" r:id="rId1"/>
  <rowBreaks count="4" manualBreakCount="4">
    <brk id="51" max="8" man="1"/>
    <brk id="94" max="8" man="1"/>
    <brk id="132" max="8" man="1"/>
    <brk id="161" max="8" man="1"/>
  </rowBreaks>
  <colBreaks count="1" manualBreakCount="1">
    <brk id="9" max="1048575" man="1"/>
  </colBreaks>
  <drawing r:id="rId2"/>
  <legacyDrawing r:id="rId3"/>
  <oleObjects>
    <mc:AlternateContent xmlns:mc="http://schemas.openxmlformats.org/markup-compatibility/2006">
      <mc:Choice Requires="x14">
        <oleObject progId="CorelDRAW.Graphic.12" shapeId="1028" r:id="rId4">
          <objectPr defaultSize="0" autoPict="0" r:id="rId5">
            <anchor moveWithCells="1">
              <from>
                <xdr:col>3</xdr:col>
                <xdr:colOff>819150</xdr:colOff>
                <xdr:row>216</xdr:row>
                <xdr:rowOff>152400</xdr:rowOff>
              </from>
              <to>
                <xdr:col>4</xdr:col>
                <xdr:colOff>504825</xdr:colOff>
                <xdr:row>219</xdr:row>
                <xdr:rowOff>9525</xdr:rowOff>
              </to>
            </anchor>
          </objectPr>
        </oleObject>
      </mc:Choice>
      <mc:Fallback>
        <oleObject progId="CorelDRAW.Graphic.12" shapeId="1028" r:id="rId4"/>
      </mc:Fallback>
    </mc:AlternateContent>
    <mc:AlternateContent xmlns:mc="http://schemas.openxmlformats.org/markup-compatibility/2006">
      <mc:Choice Requires="x14">
        <oleObject progId="CorelDRAW.Graphic.12" shapeId="1029" r:id="rId6">
          <objectPr defaultSize="0" autoPict="0" r:id="rId5">
            <anchor moveWithCells="1">
              <from>
                <xdr:col>9</xdr:col>
                <xdr:colOff>38100</xdr:colOff>
                <xdr:row>57</xdr:row>
                <xdr:rowOff>95250</xdr:rowOff>
              </from>
              <to>
                <xdr:col>9</xdr:col>
                <xdr:colOff>533400</xdr:colOff>
                <xdr:row>58</xdr:row>
                <xdr:rowOff>295275</xdr:rowOff>
              </to>
            </anchor>
          </objectPr>
        </oleObject>
      </mc:Choice>
      <mc:Fallback>
        <oleObject progId="CorelDRAW.Graphic.12" shapeId="1029" r:id="rId6"/>
      </mc:Fallback>
    </mc:AlternateContent>
    <mc:AlternateContent xmlns:mc="http://schemas.openxmlformats.org/markup-compatibility/2006">
      <mc:Choice Requires="x14">
        <oleObject progId="CorelDRAW.Graphic.12" shapeId="1031" r:id="rId7">
          <objectPr defaultSize="0" autoPict="0" r:id="rId5">
            <anchor moveWithCells="1">
              <from>
                <xdr:col>9</xdr:col>
                <xdr:colOff>28575</xdr:colOff>
                <xdr:row>167</xdr:row>
                <xdr:rowOff>104775</xdr:rowOff>
              </from>
              <to>
                <xdr:col>9</xdr:col>
                <xdr:colOff>523875</xdr:colOff>
                <xdr:row>168</xdr:row>
                <xdr:rowOff>295275</xdr:rowOff>
              </to>
            </anchor>
          </objectPr>
        </oleObject>
      </mc:Choice>
      <mc:Fallback>
        <oleObject progId="CorelDRAW.Graphic.12" shapeId="1031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CGPA Calculator - Regular</vt:lpstr>
      <vt:lpstr>'CGPA Calculator - Regular'!Print_Area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KATE OGBU</cp:lastModifiedBy>
  <cp:lastPrinted>2015-03-03T21:34:42Z</cp:lastPrinted>
  <dcterms:created xsi:type="dcterms:W3CDTF">2015-02-01T22:36:31Z</dcterms:created>
  <dcterms:modified xsi:type="dcterms:W3CDTF">2026-07-24T10:21:40Z</dcterms:modified>
</cp:coreProperties>
</file>